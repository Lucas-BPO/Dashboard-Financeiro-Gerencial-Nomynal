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tuus09\Desktop\Doc. Salvar Drive\NOMYNAL\REPORT FINANCEIRO\Apresentação\"/>
    </mc:Choice>
  </mc:AlternateContent>
  <xr:revisionPtr revIDLastSave="0" documentId="13_ncr:1_{2125DC78-66BC-43F9-88C4-D7096DF00A5F}" xr6:coauthVersionLast="47" xr6:coauthVersionMax="47" xr10:uidLastSave="{00000000-0000-0000-0000-000000000000}"/>
  <bookViews>
    <workbookView xWindow="-120" yWindow="-120" windowWidth="29040" windowHeight="15720" activeTab="4" xr2:uid="{F0C8FD1A-3145-4E83-BD6B-DC10C4D6167D}"/>
  </bookViews>
  <sheets>
    <sheet name="Faturamento" sheetId="2" r:id="rId1"/>
    <sheet name="Receitas" sheetId="3" r:id="rId2"/>
    <sheet name="Saldos" sheetId="4" r:id="rId3"/>
    <sheet name="Centros de Custo" sheetId="9" r:id="rId4"/>
    <sheet name="DFC " sheetId="6" r:id="rId5"/>
    <sheet name="INADIMPLENTES" sheetId="8" r:id="rId6"/>
  </sheets>
  <definedNames>
    <definedName name="DadosExternos_5" localSheetId="1" hidden="1">'Receitas'!$A$1:$C$58</definedName>
    <definedName name="DadosExternos_6" localSheetId="2" hidden="1">Saldos!$A$1:$C$96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78" i="6" l="1"/>
  <c r="AV4" i="6"/>
  <c r="AW4" i="6"/>
  <c r="AW5" i="6" l="1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3" i="6"/>
  <c r="AW44" i="6"/>
  <c r="AW45" i="6"/>
  <c r="AW46" i="6"/>
  <c r="AW47" i="6"/>
  <c r="AW48" i="6"/>
  <c r="AW49" i="6"/>
  <c r="AW50" i="6"/>
  <c r="AW51" i="6"/>
  <c r="AW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W73" i="6"/>
  <c r="AW74" i="6"/>
  <c r="AW76" i="6"/>
  <c r="AW77" i="6"/>
  <c r="AW78" i="6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4" i="6"/>
  <c r="AV76" i="6"/>
  <c r="AV7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7AC1A5-6F90-4A66-86E6-CF11D4D2654A}" keepAlive="1" name="Consulta - Base" description="Conexão com a consulta 'Base' na pasta de trabalho." type="5" refreshedVersion="8" background="1" saveData="1">
    <dbPr connection="Provider=Microsoft.Mashup.OleDb.1;Data Source=$Workbook$;Location=Base;Extended Properties=&quot;&quot;" command="SELECT * FROM [Base]"/>
  </connection>
  <connection id="2" xr16:uid="{56CCA2DA-E96A-4771-B796-A6BFC3B9151D}" keepAlive="1" name="Consulta - Base (2)" description="Conexão com a consulta 'Base (2)' na pasta de trabalho." type="5" refreshedVersion="0" background="1">
    <dbPr connection="Provider=Microsoft.Mashup.OleDb.1;Data Source=$Workbook$;Location=&quot;Base (2)&quot;;Extended Properties=&quot;&quot;" command="SELECT * FROM [Base (2)]"/>
  </connection>
  <connection id="3" xr16:uid="{87FB67B5-7660-4D6B-A6DA-AF2E9B88D50E}" keepAlive="1" name="Consulta - Base (3)" description="Conexão com a consulta 'Base (3)' na pasta de trabalho." type="5" refreshedVersion="0" background="1">
    <dbPr connection="Provider=Microsoft.Mashup.OleDb.1;Data Source=$Workbook$;Location=&quot;Base (3)&quot;;Extended Properties=&quot;&quot;" command="SELECT * FROM [Base (3)]"/>
  </connection>
  <connection id="4" xr16:uid="{B68CA49D-36B8-4D59-9D81-5ADBF30A6E68}" keepAlive="1" name="Consulta - Receitas" description="Conexão com a consulta 'Receitas' na pasta de trabalho." type="5" refreshedVersion="8" background="1" saveData="1">
    <dbPr connection="Provider=Microsoft.Mashup.OleDb.1;Data Source=$Workbook$;Location=Receitas;Extended Properties=&quot;&quot;" command="SELECT * FROM [Receitas]"/>
  </connection>
  <connection id="5" xr16:uid="{6496D2D3-AAF2-4D53-90F0-2439ED0815FB}" keepAlive="1" name="Consulta - Saldos" description="Conexão com a consulta 'Saldos' na pasta de trabalho." type="5" refreshedVersion="8" background="1" saveData="1">
    <dbPr connection="Provider=Microsoft.Mashup.OleDb.1;Data Source=$Workbook$;Location=Saldos;Extended Properties=&quot;&quot;" command="SELECT * FROM [Saldos]"/>
  </connection>
</connections>
</file>

<file path=xl/sharedStrings.xml><?xml version="1.0" encoding="utf-8"?>
<sst xmlns="http://schemas.openxmlformats.org/spreadsheetml/2006/main" count="2482" uniqueCount="164">
  <si>
    <t>Período</t>
  </si>
  <si>
    <t>Curso</t>
  </si>
  <si>
    <t>DJ PRO</t>
  </si>
  <si>
    <t>Especialista Estudos e Ensaios</t>
  </si>
  <si>
    <t>Treinamento Presencial</t>
  </si>
  <si>
    <t>TR PRO</t>
  </si>
  <si>
    <t>Especialista Pextron</t>
  </si>
  <si>
    <t>Expert Formação</t>
  </si>
  <si>
    <t>Reyrolle</t>
  </si>
  <si>
    <t>Workshop 360</t>
  </si>
  <si>
    <t>Proteção 360 Aulas</t>
  </si>
  <si>
    <t>Formação Mesh</t>
  </si>
  <si>
    <t>Faturamento</t>
  </si>
  <si>
    <t>Fonte de Recebimento</t>
  </si>
  <si>
    <t>Receita Conta Corrente</t>
  </si>
  <si>
    <t>Receita Hotmart</t>
  </si>
  <si>
    <t>Receita Conta Azul PJ</t>
  </si>
  <si>
    <t>Recebimentos Consolidados</t>
  </si>
  <si>
    <t>Máquinas e Equipamentos</t>
  </si>
  <si>
    <t>Saldo Conta Corrente</t>
  </si>
  <si>
    <t>Saldo Hotmart</t>
  </si>
  <si>
    <t>Saldo Conta Azul</t>
  </si>
  <si>
    <t>CDB Liquidez Diária</t>
  </si>
  <si>
    <t>CDB Mais Limite</t>
  </si>
  <si>
    <t>Saldo por Contas</t>
  </si>
  <si>
    <t>Saldo Total das Contas</t>
  </si>
  <si>
    <t>FLUXO DE CAIXA NOMYNAL TREINAMENTOS</t>
  </si>
  <si>
    <t>CATEGORIAS</t>
  </si>
  <si>
    <t>Total de Recebimentos</t>
  </si>
  <si>
    <t>Locação de Equipamentos</t>
  </si>
  <si>
    <t>Vendas - Hotmart</t>
  </si>
  <si>
    <t>Rendimentos de Aplicações</t>
  </si>
  <si>
    <t>Comissão de Vendas Hotmart</t>
  </si>
  <si>
    <t>Estorno de Pagamento</t>
  </si>
  <si>
    <t>Recebimento Indevido</t>
  </si>
  <si>
    <t>Reembolso de Fornecedor / Cliente</t>
  </si>
  <si>
    <t>Aporte de Sócios</t>
  </si>
  <si>
    <t>Receitas a Identificar</t>
  </si>
  <si>
    <t>Total de Pagamentos</t>
  </si>
  <si>
    <t>Simples Nacional - DAS</t>
  </si>
  <si>
    <t>Material didático</t>
  </si>
  <si>
    <t>Designer</t>
  </si>
  <si>
    <t>Propaganda e Publicidade Ads</t>
  </si>
  <si>
    <t>Vendas Reembolsadas e Chargeback</t>
  </si>
  <si>
    <t>Certificado Digital</t>
  </si>
  <si>
    <t>Combustível</t>
  </si>
  <si>
    <t>CT-e Transportes e Fretes</t>
  </si>
  <si>
    <t>Serviços e Materiais Utilizados no Treinamento Presencial</t>
  </si>
  <si>
    <t>Taxa de Transferência - Hotmart</t>
  </si>
  <si>
    <t>Aluguel + IPTU</t>
  </si>
  <si>
    <t>BPO Financeiro</t>
  </si>
  <si>
    <t>Cemig</t>
  </si>
  <si>
    <t>Honorários Contábeis</t>
  </si>
  <si>
    <t>Parceria Conta Azul</t>
  </si>
  <si>
    <t>Telefone Fixo e Internet</t>
  </si>
  <si>
    <t>Brindes</t>
  </si>
  <si>
    <t>Cursos / Treinamentos / Professores</t>
  </si>
  <si>
    <t>INSS + IRRF</t>
  </si>
  <si>
    <t>Pró-Labore</t>
  </si>
  <si>
    <t>Uniformes</t>
  </si>
  <si>
    <t>Bens de Menor Valor</t>
  </si>
  <si>
    <t>Conservação e Limpeza</t>
  </si>
  <si>
    <t>Constituição de Empresa</t>
  </si>
  <si>
    <t>Correios</t>
  </si>
  <si>
    <t>Estacionamento</t>
  </si>
  <si>
    <t>Lanches / Refeições / Água</t>
  </si>
  <si>
    <t>Licenças e Softwares</t>
  </si>
  <si>
    <t>Manutenção de Equipamentos</t>
  </si>
  <si>
    <t>Manutenção Predial</t>
  </si>
  <si>
    <t>Materiais de Escritório</t>
  </si>
  <si>
    <t>Viagens e Estadia</t>
  </si>
  <si>
    <t>ICMS Diferença de Alíquota</t>
  </si>
  <si>
    <t>Taxa de Fiscalização de Localização e Funcionamento - TFLF</t>
  </si>
  <si>
    <t>IOF</t>
  </si>
  <si>
    <t>Imposto de Renda Retido na Fonte</t>
  </si>
  <si>
    <t>Juros e Multas</t>
  </si>
  <si>
    <t>Tarifas Bancárias - DOC/TED/PIX/Manutenção de Conta</t>
  </si>
  <si>
    <t>Despesas a Identificar</t>
  </si>
  <si>
    <t>Devolução de Pagamento</t>
  </si>
  <si>
    <t>Pagamento Indevido</t>
  </si>
  <si>
    <t>Infraestrutura Treinamento Presencial</t>
  </si>
  <si>
    <t>Geração de Caixa do Período</t>
  </si>
  <si>
    <t>Saldo Final de Caixa</t>
  </si>
  <si>
    <t>Nome do cliente</t>
  </si>
  <si>
    <t>Valor</t>
  </si>
  <si>
    <t>Competência</t>
  </si>
  <si>
    <t>Total</t>
  </si>
  <si>
    <t>Previsto</t>
  </si>
  <si>
    <t>Realizado</t>
  </si>
  <si>
    <t>Saldo do Mês Anterior</t>
  </si>
  <si>
    <t>3.1 RECEITAS OPERACIONAIS</t>
  </si>
  <si>
    <t>3.2 RECEITAS FINANCEIRAS</t>
  </si>
  <si>
    <t>3.3 RECEITAS NÃO OPERACIONAIS</t>
  </si>
  <si>
    <t>3.4 OUTRAS ENTRADAS</t>
  </si>
  <si>
    <t>4.1 DEDUÇÕES DA RECEITA</t>
  </si>
  <si>
    <t>4.2 CSP - CUSTO DOS SERVIÇOS PRESTADOS</t>
  </si>
  <si>
    <t>4.3 DESPESAS OPERACIONAIS</t>
  </si>
  <si>
    <t>4.3.1 Comercial</t>
  </si>
  <si>
    <t>4.3.2 Variáveis</t>
  </si>
  <si>
    <t>Cartão de Credito</t>
  </si>
  <si>
    <t>4.4 DESPESAS ADMINISTRATIVAS</t>
  </si>
  <si>
    <t>4.4.1 Fixas</t>
  </si>
  <si>
    <t>4.4.2 Pessoal</t>
  </si>
  <si>
    <t>4.4.3 Variáveis</t>
  </si>
  <si>
    <t>Alteração Contratual</t>
  </si>
  <si>
    <t>Transporte Urbano (táxi, Uber)</t>
  </si>
  <si>
    <t>4.5 TRIBUTOS</t>
  </si>
  <si>
    <t>4.6 DESPESAS FINANCEIRAS</t>
  </si>
  <si>
    <t>4.7 DESPESAS NÃO OPERACIONAIS</t>
  </si>
  <si>
    <t>4.8 INVESTIMENTOS</t>
  </si>
  <si>
    <t>Distribuição de Lucros - OFICIAL</t>
  </si>
  <si>
    <t>IEDS e Mala de Teste</t>
  </si>
  <si>
    <t>Centro de custo</t>
  </si>
  <si>
    <t>Categoria</t>
  </si>
  <si>
    <t>Mês/Ano</t>
  </si>
  <si>
    <t>Empresa</t>
  </si>
  <si>
    <t>Administrativo</t>
  </si>
  <si>
    <t>Impostos Sobre Vendas</t>
  </si>
  <si>
    <t>Marketing e Comunicação</t>
  </si>
  <si>
    <t>Comercial</t>
  </si>
  <si>
    <t>Presidência</t>
  </si>
  <si>
    <t>MARCIO LUÍS VENUTOLO SANTOS</t>
  </si>
  <si>
    <t>JURACI DE SOUZA ALMEIDA</t>
  </si>
  <si>
    <t>RAIMUNDO ANTÔNIO VELOSO</t>
  </si>
  <si>
    <t>LCN ENGENHARIA E PROJETOS</t>
  </si>
  <si>
    <t>RUN &amp;AMP; LEME COMERCIAL LTDA</t>
  </si>
  <si>
    <t>PROJETO SOLAR</t>
  </si>
  <si>
    <t>DIOGO CORREIA DE OLIVEIRA</t>
  </si>
  <si>
    <t>LAERCIO NOVAIS DE MATOS</t>
  </si>
  <si>
    <t>01/08/2026</t>
  </si>
  <si>
    <t>ANDRÉ RICARDO MARTINS</t>
  </si>
  <si>
    <t>ROGERIO FERNANDO BELLADONA</t>
  </si>
  <si>
    <t>ROGERIO NORMANHA DA SILVA</t>
  </si>
  <si>
    <t>MARCOS RODRIGO CORNÉLIO DE BRITO</t>
  </si>
  <si>
    <t>WR ENGENHARIA ELETRICA E REFRIGERAÇÃO</t>
  </si>
  <si>
    <t>NEW ENERGY PROJETOS E CONSULTORIA LTDA</t>
  </si>
  <si>
    <t>05/08/2026</t>
  </si>
  <si>
    <t>08/08/2026</t>
  </si>
  <si>
    <t>07/08/2026</t>
  </si>
  <si>
    <t>Especialista Reyrolle</t>
  </si>
  <si>
    <t xml:space="preserve">Expert - Formação de Especialista em Subestações </t>
  </si>
  <si>
    <t xml:space="preserve">Formação MESH </t>
  </si>
  <si>
    <t xml:space="preserve">Presencial Estudos e Ensaios </t>
  </si>
  <si>
    <t>AAFELIX COMERCIO, MONTAGENS E INSTALACOES E</t>
  </si>
  <si>
    <t>NICOLAS ANTUNES NEVES</t>
  </si>
  <si>
    <t>20/09/2025</t>
  </si>
  <si>
    <t>20/10/2025</t>
  </si>
  <si>
    <t>05/12/2025</t>
  </si>
  <si>
    <t>31/12/2025</t>
  </si>
  <si>
    <t>30/01/2026</t>
  </si>
  <si>
    <t>29/05/2026</t>
  </si>
  <si>
    <t>13/06/2026</t>
  </si>
  <si>
    <t>20/06/2026</t>
  </si>
  <si>
    <t>07/07/2026</t>
  </si>
  <si>
    <t>10/07/2026</t>
  </si>
  <si>
    <t>13/07/2026</t>
  </si>
  <si>
    <t>29/07/2026</t>
  </si>
  <si>
    <t>13/08/2026</t>
  </si>
  <si>
    <t>18/08/2026</t>
  </si>
  <si>
    <t>20/08/2026</t>
  </si>
  <si>
    <t>05/09/2026</t>
  </si>
  <si>
    <t>11/09/2026</t>
  </si>
  <si>
    <t>20/09/2026</t>
  </si>
  <si>
    <t>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</si>
</sst>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5E5"/>
        <bgColor indexed="64"/>
      </patternFill>
    </fill>
  </fills>
  <borders count="1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0" borderId="0" xfId="0" applyFont="1"/>
    <xf numFmtId="43" fontId="0" fillId="0" borderId="0" xfId="0" applyNumberFormat="1"/>
    <xf numFmtId="43" fontId="4" fillId="4" borderId="1" xfId="1" applyFont="1" applyFill="1" applyBorder="1"/>
    <xf numFmtId="43" fontId="4" fillId="8" borderId="1" xfId="1" applyFont="1" applyFill="1" applyBorder="1"/>
    <xf numFmtId="43" fontId="3" fillId="2" borderId="1" xfId="1" applyFont="1" applyFill="1" applyBorder="1"/>
    <xf numFmtId="43" fontId="0" fillId="3" borderId="1" xfId="1" applyFont="1" applyFill="1" applyBorder="1"/>
    <xf numFmtId="43" fontId="0" fillId="4" borderId="1" xfId="1" applyFont="1" applyFill="1" applyBorder="1"/>
    <xf numFmtId="43" fontId="4" fillId="9" borderId="1" xfId="1" applyFont="1" applyFill="1" applyBorder="1"/>
    <xf numFmtId="43" fontId="2" fillId="3" borderId="1" xfId="1" applyFont="1" applyFill="1" applyBorder="1"/>
    <xf numFmtId="43" fontId="2" fillId="4" borderId="1" xfId="1" applyFont="1" applyFill="1" applyBorder="1"/>
    <xf numFmtId="43" fontId="3" fillId="4" borderId="1" xfId="1" applyFont="1" applyFill="1" applyBorder="1"/>
    <xf numFmtId="0" fontId="2" fillId="4" borderId="0" xfId="0" applyFont="1" applyFill="1"/>
    <xf numFmtId="0" fontId="6" fillId="0" borderId="0" xfId="0" applyFont="1"/>
    <xf numFmtId="43" fontId="1" fillId="3" borderId="1" xfId="1" applyFont="1" applyFill="1" applyBorder="1"/>
    <xf numFmtId="43" fontId="1" fillId="4" borderId="1" xfId="1" applyFont="1" applyFill="1" applyBorder="1"/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4" fillId="4" borderId="4" xfId="0" applyFont="1" applyFill="1" applyBorder="1"/>
    <xf numFmtId="0" fontId="5" fillId="5" borderId="5" xfId="0" applyFont="1" applyFill="1" applyBorder="1"/>
    <xf numFmtId="0" fontId="5" fillId="7" borderId="6" xfId="0" applyFont="1" applyFill="1" applyBorder="1" applyAlignment="1">
      <alignment horizontal="center" vertical="center"/>
    </xf>
    <xf numFmtId="0" fontId="4" fillId="0" borderId="7" xfId="0" applyFont="1" applyBorder="1"/>
    <xf numFmtId="43" fontId="4" fillId="4" borderId="8" xfId="1" applyFont="1" applyFill="1" applyBorder="1"/>
    <xf numFmtId="0" fontId="4" fillId="8" borderId="7" xfId="0" applyFont="1" applyFill="1" applyBorder="1"/>
    <xf numFmtId="43" fontId="4" fillId="8" borderId="8" xfId="1" applyFont="1" applyFill="1" applyBorder="1"/>
    <xf numFmtId="0" fontId="3" fillId="2" borderId="7" xfId="0" applyFont="1" applyFill="1" applyBorder="1"/>
    <xf numFmtId="43" fontId="3" fillId="2" borderId="8" xfId="1" applyFont="1" applyFill="1" applyBorder="1"/>
    <xf numFmtId="0" fontId="0" fillId="0" borderId="7" xfId="0" applyBorder="1"/>
    <xf numFmtId="43" fontId="0" fillId="4" borderId="8" xfId="1" applyFont="1" applyFill="1" applyBorder="1"/>
    <xf numFmtId="0" fontId="0" fillId="0" borderId="9" xfId="0" applyBorder="1"/>
    <xf numFmtId="0" fontId="4" fillId="9" borderId="7" xfId="0" applyFont="1" applyFill="1" applyBorder="1"/>
    <xf numFmtId="43" fontId="4" fillId="9" borderId="8" xfId="1" applyFont="1" applyFill="1" applyBorder="1"/>
    <xf numFmtId="0" fontId="2" fillId="0" borderId="7" xfId="0" applyFont="1" applyBorder="1"/>
    <xf numFmtId="43" fontId="2" fillId="4" borderId="8" xfId="1" applyFont="1" applyFill="1" applyBorder="1"/>
    <xf numFmtId="0" fontId="0" fillId="4" borderId="9" xfId="0" applyFill="1" applyBorder="1"/>
    <xf numFmtId="0" fontId="5" fillId="5" borderId="7" xfId="0" applyFont="1" applyFill="1" applyBorder="1"/>
    <xf numFmtId="0" fontId="5" fillId="5" borderId="10" xfId="0" applyFont="1" applyFill="1" applyBorder="1"/>
    <xf numFmtId="43" fontId="4" fillId="4" borderId="11" xfId="1" applyFont="1" applyFill="1" applyBorder="1"/>
    <xf numFmtId="43" fontId="6" fillId="4" borderId="12" xfId="1" applyFont="1" applyFill="1" applyBorder="1"/>
    <xf numFmtId="43" fontId="4" fillId="3" borderId="1" xfId="1" applyFont="1" applyFill="1" applyBorder="1"/>
    <xf numFmtId="43" fontId="4" fillId="3" borderId="11" xfId="1" applyFont="1" applyFill="1" applyBorder="1"/>
    <xf numFmtId="14" fontId="0" fillId="0" borderId="0" xfId="0" applyNumberFormat="1" applyAlignment="1">
      <alignment horizontal="left" vertical="center"/>
    </xf>
    <xf numFmtId="17" fontId="4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12"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3" tint="0.24994659260841701"/>
      </font>
      <fill>
        <patternFill>
          <fgColor theme="0"/>
        </patternFill>
      </fill>
    </dxf>
    <dxf>
      <font>
        <color rgb="FF9C0006"/>
      </font>
    </dxf>
    <dxf>
      <font>
        <color theme="9" tint="-0.24994659260841701"/>
      </font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4" xr16:uid="{E042B077-DE5D-4D99-8016-A205FA2783E2}" autoFormatId="16" applyNumberFormats="0" applyBorderFormats="0" applyFontFormats="0" applyPatternFormats="0" applyAlignmentFormats="0" applyWidthHeightFormats="0">
  <queryTableRefresh nextId="60">
    <queryTableFields count="3">
      <queryTableField id="1" name="Período" tableColumnId="1"/>
      <queryTableField id="58" name="Fonte de Recebimento" tableColumnId="58"/>
      <queryTableField id="59" name="Recebimentos Consolidados" tableColumnId="59"/>
    </queryTableFields>
    <queryTableDeletedFields count="56">
      <deletedField name="Faturamento Consolidado"/>
      <deletedField name="Workshop 360"/>
      <deletedField name="Proteção 360 Aulas"/>
      <deletedField name="DJ PRO"/>
      <deletedField name="TR PRO"/>
      <deletedField name="Especialista Estudos e Ensaios"/>
      <deletedField name="Especialista Pextron"/>
      <deletedField name="Treinamento Presencial"/>
      <deletedField name="Expert Formação"/>
      <deletedField name="Reyrolle"/>
      <deletedField name="Formação Mesh"/>
      <deletedField name="Receitas Consolidadas"/>
      <deletedField name="Deduções da Receita"/>
      <deletedField name="Material Didático"/>
      <deletedField name="Máquinas e Equipamentos"/>
      <deletedField name="CSP"/>
      <deletedField name="Designer."/>
      <deletedField name="Publicidade Ads."/>
      <deletedField name="Vendas Reembolsadas."/>
      <deletedField name="Transportes e Fretes."/>
      <deletedField name="Serviços e Materiais Treinamento Presencial."/>
      <deletedField name="Despesas Operacionais"/>
      <deletedField name="Aluguel + IPTU."/>
      <deletedField name="Honorários BPO."/>
      <deletedField name="Cemig."/>
      <deletedField name="Honorários Contábeis."/>
      <deletedField name="Parceria Conta Azul."/>
      <deletedField name="Telefonia e Internet."/>
      <deletedField name="Despesas Administrativas Fixas"/>
      <deletedField name="Brindes."/>
      <deletedField name="Cursos Treinamentos e Professores."/>
      <deletedField name="INSS + IRRF."/>
      <deletedField name="Pro Labore."/>
      <deletedField name="Uniformes."/>
      <deletedField name="Despesas Administrativas com Pessoal"/>
      <deletedField name="Lanches e Refeições."/>
      <deletedField name="Materiais de Escritório."/>
      <deletedField name="Conservação e Limpeza."/>
      <deletedField name="Licenças e Softwares."/>
      <deletedField name="Manutenção de Equipamentos."/>
      <deletedField name="Manutenção Predial."/>
      <deletedField name="Viagens e Estadia."/>
      <deletedField name="Bens de Menor Valor."/>
      <deletedField name="Despesas Administrativas Variáveis"/>
      <deletedField name="ICMS Diferencial de Alíquota."/>
      <deletedField name="TFLF."/>
      <deletedField name="Tributos"/>
      <deletedField name="Insfraestrutura Presencial."/>
      <deletedField name="Investimentos"/>
      <deletedField name="Geração de Caixa"/>
      <deletedField name="Saldo Conta Corrente"/>
      <deletedField name="Saldo Hotmart"/>
      <deletedField name="Saldo Conta Azul"/>
      <deletedField name="CDB Liquidez Diária"/>
      <deletedField name="CDB Mais Limite"/>
      <deletedField name="Saldo Total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5" xr16:uid="{A841DD73-D559-4DA0-BB9C-51EB731A7B71}" autoFormatId="16" applyNumberFormats="0" applyBorderFormats="0" applyFontFormats="0" applyPatternFormats="0" applyAlignmentFormats="0" applyWidthHeightFormats="0">
  <queryTableRefresh nextId="58">
    <queryTableFields count="3">
      <queryTableField id="1" name="Período" tableColumnId="1"/>
      <queryTableField id="56" name="Saldo por Contas" tableColumnId="56"/>
      <queryTableField id="57" name="Saldo Total das Contas" tableColumnId="57"/>
    </queryTableFields>
    <queryTableDeletedFields count="54">
      <deletedField name="Faturamento Consolidado"/>
      <deletedField name="Workshop 360"/>
      <deletedField name="Proteção 360 Aulas"/>
      <deletedField name="DJ PRO"/>
      <deletedField name="TR PRO"/>
      <deletedField name="Especialista Estudos e Ensaios"/>
      <deletedField name="Especialista Pextron"/>
      <deletedField name="Treinamento Presencial"/>
      <deletedField name="Expert Formação"/>
      <deletedField name="Reyrolle"/>
      <deletedField name="Formação Mesh"/>
      <deletedField name="Receita Conta Corrente"/>
      <deletedField name="Receita Hotmart"/>
      <deletedField name="Receita Conta Azul PJ"/>
      <deletedField name="Receitas Consolidadas"/>
      <deletedField name="Saldo Total"/>
      <deletedField name="Deduções da Receita"/>
      <deletedField name="Material Didático"/>
      <deletedField name="Máquinas e Equipamentos"/>
      <deletedField name="CSP"/>
      <deletedField name="Designer."/>
      <deletedField name="Publicidade Ads."/>
      <deletedField name="Vendas Reembolsadas."/>
      <deletedField name="Transportes e Fretes."/>
      <deletedField name="Serviços e Materiais Treinamento Presencial."/>
      <deletedField name="Despesas Operacionais"/>
      <deletedField name="Aluguel + IPTU."/>
      <deletedField name="Honorários BPO."/>
      <deletedField name="Cemig."/>
      <deletedField name="Honorários Contábeis."/>
      <deletedField name="Parceria Conta Azul."/>
      <deletedField name="Telefonia e Internet."/>
      <deletedField name="Despesas Administrativas Fixas"/>
      <deletedField name="Brindes."/>
      <deletedField name="Cursos Treinamentos e Professores."/>
      <deletedField name="INSS + IRRF."/>
      <deletedField name="Pro Labore."/>
      <deletedField name="Uniformes."/>
      <deletedField name="Despesas Administrativas com Pessoal"/>
      <deletedField name="Lanches e Refeições."/>
      <deletedField name="Materiais de Escritório."/>
      <deletedField name="Conservação e Limpeza."/>
      <deletedField name="Licenças e Softwares."/>
      <deletedField name="Manutenção de Equipamentos."/>
      <deletedField name="Manutenção Predial."/>
      <deletedField name="Viagens e Estadia."/>
      <deletedField name="Bens de Menor Valor."/>
      <deletedField name="Despesas Administrativas Variáveis"/>
      <deletedField name="ICMS Diferencial de Alíquota."/>
      <deletedField name="TFLF."/>
      <deletedField name="Tributos"/>
      <deletedField name="Insfraestrutura Presencial."/>
      <deletedField name="Investimentos"/>
      <deletedField name="Geração de Caixa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327D28-BF5F-44AF-9542-154E1B1AB8FF}" name="Cursos" displayName="Cursos" ref="A1:C144" totalsRowShown="0">
  <autoFilter ref="A1:C144" xr:uid="{EB327D28-BF5F-44AF-9542-154E1B1AB8FF}"/>
  <tableColumns count="3">
    <tableColumn id="1" xr3:uid="{8ED6A9AC-5546-48C4-A9FF-C7F22FA66E77}" name="Período" dataDxfId="11"/>
    <tableColumn id="51" xr3:uid="{E07EBCDC-B1A7-45EA-BBEB-E92DAB44E662}" name="Curso" dataDxfId="10"/>
    <tableColumn id="52" xr3:uid="{B538AC1E-710D-4FE3-8CAA-1729D0284652}" name="Faturamento" dataCellStyle="Vírgul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ED0B91-D832-4031-B569-DA6CDBA6BDA7}" name="Receitas" displayName="Receitas" ref="A1:C58" tableType="queryTable" totalsRowShown="0">
  <autoFilter ref="A1:C58" xr:uid="{FDED0B91-D832-4031-B569-DA6CDBA6BDA7}"/>
  <tableColumns count="3">
    <tableColumn id="1" xr3:uid="{53746AEF-FC3F-47E5-BE01-B0D268A71582}" uniqueName="1" name="Período" queryTableFieldId="1" dataDxfId="7"/>
    <tableColumn id="58" xr3:uid="{21EA503D-7D30-45A5-839B-1E68218EB0D2}" uniqueName="58" name="Fonte de Recebimento" queryTableFieldId="58" dataDxfId="6"/>
    <tableColumn id="59" xr3:uid="{27235FC9-4C75-4E95-B45C-47EEFEAA8B84}" uniqueName="59" name="Recebimentos Consolidados" queryTableFieldId="59" dataCellStyle="Vírgula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6FB0DD-EA40-4E16-9421-9973550E4B68}" name="Saldos" displayName="Saldos" ref="A1:C96" tableType="queryTable" totalsRowShown="0">
  <autoFilter ref="A1:C96" xr:uid="{F06FB0DD-EA40-4E16-9421-9973550E4B68}"/>
  <tableColumns count="3">
    <tableColumn id="1" xr3:uid="{E75689D2-A981-46E0-9922-1539179AB3A6}" uniqueName="1" name="Período" queryTableFieldId="1" dataDxfId="9"/>
    <tableColumn id="56" xr3:uid="{7268ECC7-D64E-4533-A47C-D94E0EB4057A}" uniqueName="56" name="Saldo por Contas" queryTableFieldId="56" dataDxfId="8"/>
    <tableColumn id="57" xr3:uid="{CB647634-C9D4-4FA0-8BF7-80EB0BBF8BED}" uniqueName="57" name="Saldo Total das Contas" queryTableFieldId="57" dataCellStyle="Vírgula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B9FD63-5164-48E2-BF8E-4926B4D280BD}" name="Tabela6" displayName="Tabela6" ref="A1:D998" totalsRowShown="0">
  <autoFilter ref="A1:D998" xr:uid="{0CB9FD63-5164-48E2-BF8E-4926B4D280BD}"/>
  <tableColumns count="4">
    <tableColumn id="1" xr3:uid="{A39CAD23-7B43-45FD-9823-777EBDF11FD6}" name="Mês/Ano"/>
    <tableColumn id="2" xr3:uid="{C5551780-11CE-4848-872C-7C9D3092E5B1}" name="Centro de custo"/>
    <tableColumn id="3" xr3:uid="{12D11E10-255F-4326-8EA9-90D0A401E3E7}" name="Categoria"/>
    <tableColumn id="4" xr3:uid="{0C6D52D8-B49A-414E-92DF-56D0FDCA9C6D}" name="Valor" dataCellStyle="Vírgula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5026CB-91A8-4E60-BB15-DB9F6E7122A5}" name="Tabela1" displayName="Tabela1" ref="A1:C25" totalsRowShown="0">
  <autoFilter ref="A1:C25" xr:uid="{BB5026CB-91A8-4E60-BB15-DB9F6E7122A5}"/>
  <tableColumns count="3">
    <tableColumn id="1" xr3:uid="{960ED2DE-9545-4CC8-9B5F-0D2F4AE9105B}" name="Nome do cliente"/>
    <tableColumn id="2" xr3:uid="{498A7C36-571A-4FF0-9BDC-3288479EC596}" name="Competência"/>
    <tableColumn id="3" xr3:uid="{E8995742-A19D-4FCA-B3BB-40FE3FA9B417}" name="Valor" dataCellStyle="Vírgula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7F01-F8AB-48CC-9DC9-B631A8439A38}">
  <dimension ref="A1:E144"/>
  <sheetViews>
    <sheetView showGridLines="0" topLeftCell="A115" workbookViewId="0">
      <selection activeCell="G139" sqref="G139"/>
    </sheetView>
  </sheetViews>
  <sheetFormatPr defaultRowHeight="15" x14ac:dyDescent="0.25"/>
  <cols>
    <col min="1" max="1" width="10.42578125" bestFit="1" customWidth="1"/>
    <col min="2" max="2" width="49" customWidth="1"/>
    <col min="3" max="3" width="14.7109375" bestFit="1" customWidth="1"/>
    <col min="5" max="5" width="11.5703125" bestFit="1" customWidth="1"/>
  </cols>
  <sheetData>
    <row r="1" spans="1:3" x14ac:dyDescent="0.25">
      <c r="A1" t="s">
        <v>0</v>
      </c>
      <c r="B1" t="s">
        <v>1</v>
      </c>
      <c r="C1" t="s">
        <v>12</v>
      </c>
    </row>
    <row r="2" spans="1:3" x14ac:dyDescent="0.25">
      <c r="A2" s="1">
        <v>45717</v>
      </c>
      <c r="B2" t="s">
        <v>2</v>
      </c>
      <c r="C2" s="2">
        <v>101.22</v>
      </c>
    </row>
    <row r="3" spans="1:3" x14ac:dyDescent="0.25">
      <c r="A3" s="1">
        <v>45717</v>
      </c>
      <c r="B3" t="s">
        <v>5</v>
      </c>
      <c r="C3" s="2">
        <v>0</v>
      </c>
    </row>
    <row r="4" spans="1:3" x14ac:dyDescent="0.25">
      <c r="A4" s="1">
        <v>45717</v>
      </c>
      <c r="B4" t="s">
        <v>3</v>
      </c>
      <c r="C4" s="2">
        <v>3589.32</v>
      </c>
    </row>
    <row r="5" spans="1:3" x14ac:dyDescent="0.25">
      <c r="A5" s="1">
        <v>45717</v>
      </c>
      <c r="B5" t="s">
        <v>6</v>
      </c>
      <c r="C5" s="2">
        <v>0</v>
      </c>
    </row>
    <row r="6" spans="1:3" x14ac:dyDescent="0.25">
      <c r="A6" s="1">
        <v>45717</v>
      </c>
      <c r="B6" t="s">
        <v>4</v>
      </c>
      <c r="C6" s="2">
        <v>43098.25</v>
      </c>
    </row>
    <row r="7" spans="1:3" x14ac:dyDescent="0.25">
      <c r="A7" s="1">
        <v>45717</v>
      </c>
      <c r="B7" t="s">
        <v>7</v>
      </c>
      <c r="C7" s="2">
        <v>0</v>
      </c>
    </row>
    <row r="8" spans="1:3" x14ac:dyDescent="0.25">
      <c r="A8" s="1">
        <v>45717</v>
      </c>
      <c r="B8" t="s">
        <v>8</v>
      </c>
      <c r="C8" s="2">
        <v>0</v>
      </c>
    </row>
    <row r="9" spans="1:3" x14ac:dyDescent="0.25">
      <c r="A9" s="1">
        <v>45748</v>
      </c>
      <c r="B9" t="s">
        <v>2</v>
      </c>
      <c r="C9" s="2">
        <v>0</v>
      </c>
    </row>
    <row r="10" spans="1:3" x14ac:dyDescent="0.25">
      <c r="A10" s="1">
        <v>45748</v>
      </c>
      <c r="B10" t="s">
        <v>5</v>
      </c>
      <c r="C10" s="2">
        <v>0</v>
      </c>
    </row>
    <row r="11" spans="1:3" x14ac:dyDescent="0.25">
      <c r="A11" s="1">
        <v>45748</v>
      </c>
      <c r="B11" t="s">
        <v>3</v>
      </c>
      <c r="C11" s="2">
        <v>16054.03</v>
      </c>
    </row>
    <row r="12" spans="1:3" x14ac:dyDescent="0.25">
      <c r="A12" s="1">
        <v>45748</v>
      </c>
      <c r="B12" t="s">
        <v>6</v>
      </c>
      <c r="C12" s="2">
        <v>0</v>
      </c>
    </row>
    <row r="13" spans="1:3" x14ac:dyDescent="0.25">
      <c r="A13" s="1">
        <v>45748</v>
      </c>
      <c r="B13" t="s">
        <v>4</v>
      </c>
      <c r="C13" s="2">
        <v>52498.94</v>
      </c>
    </row>
    <row r="14" spans="1:3" x14ac:dyDescent="0.25">
      <c r="A14" s="1">
        <v>45748</v>
      </c>
      <c r="B14" t="s">
        <v>7</v>
      </c>
      <c r="C14" s="2">
        <v>0</v>
      </c>
    </row>
    <row r="15" spans="1:3" x14ac:dyDescent="0.25">
      <c r="A15" s="1">
        <v>45748</v>
      </c>
      <c r="B15" t="s">
        <v>8</v>
      </c>
      <c r="C15" s="2">
        <v>0</v>
      </c>
    </row>
    <row r="16" spans="1:3" x14ac:dyDescent="0.25">
      <c r="A16" s="1">
        <v>45778</v>
      </c>
      <c r="B16" t="s">
        <v>2</v>
      </c>
      <c r="C16" s="2">
        <v>194</v>
      </c>
    </row>
    <row r="17" spans="1:3" x14ac:dyDescent="0.25">
      <c r="A17" s="1">
        <v>45778</v>
      </c>
      <c r="B17" t="s">
        <v>5</v>
      </c>
      <c r="C17" s="2">
        <v>97</v>
      </c>
    </row>
    <row r="18" spans="1:3" x14ac:dyDescent="0.25">
      <c r="A18" s="1">
        <v>45778</v>
      </c>
      <c r="B18" t="s">
        <v>3</v>
      </c>
      <c r="C18" s="2">
        <v>4038.59</v>
      </c>
    </row>
    <row r="19" spans="1:3" x14ac:dyDescent="0.25">
      <c r="A19" s="1">
        <v>45778</v>
      </c>
      <c r="B19" t="s">
        <v>6</v>
      </c>
      <c r="C19" s="2">
        <v>5273.48</v>
      </c>
    </row>
    <row r="20" spans="1:3" x14ac:dyDescent="0.25">
      <c r="A20" s="1">
        <v>45778</v>
      </c>
      <c r="B20" t="s">
        <v>4</v>
      </c>
      <c r="C20" s="2">
        <v>37156.769999999997</v>
      </c>
    </row>
    <row r="21" spans="1:3" x14ac:dyDescent="0.25">
      <c r="A21" s="1">
        <v>45778</v>
      </c>
      <c r="B21" t="s">
        <v>7</v>
      </c>
      <c r="C21" s="2">
        <v>0</v>
      </c>
    </row>
    <row r="22" spans="1:3" x14ac:dyDescent="0.25">
      <c r="A22" s="1">
        <v>45778</v>
      </c>
      <c r="B22" t="s">
        <v>8</v>
      </c>
      <c r="C22" s="2">
        <v>0</v>
      </c>
    </row>
    <row r="23" spans="1:3" x14ac:dyDescent="0.25">
      <c r="A23" s="1">
        <v>45809</v>
      </c>
      <c r="B23" t="s">
        <v>2</v>
      </c>
      <c r="C23" s="2">
        <v>57.9</v>
      </c>
    </row>
    <row r="24" spans="1:3" x14ac:dyDescent="0.25">
      <c r="A24" s="1">
        <v>45809</v>
      </c>
      <c r="B24" t="s">
        <v>5</v>
      </c>
      <c r="C24" s="2">
        <v>217.36</v>
      </c>
    </row>
    <row r="25" spans="1:3" x14ac:dyDescent="0.25">
      <c r="A25" s="1">
        <v>45809</v>
      </c>
      <c r="B25" t="s">
        <v>3</v>
      </c>
      <c r="C25" s="2">
        <v>2183.29</v>
      </c>
    </row>
    <row r="26" spans="1:3" x14ac:dyDescent="0.25">
      <c r="A26" s="1">
        <v>45809</v>
      </c>
      <c r="B26" t="s">
        <v>6</v>
      </c>
      <c r="C26" s="2">
        <v>10809.26</v>
      </c>
    </row>
    <row r="27" spans="1:3" x14ac:dyDescent="0.25">
      <c r="A27" s="1">
        <v>45809</v>
      </c>
      <c r="B27" t="s">
        <v>4</v>
      </c>
      <c r="C27" s="2">
        <v>9144.26</v>
      </c>
    </row>
    <row r="28" spans="1:3" x14ac:dyDescent="0.25">
      <c r="A28" s="1">
        <v>45809</v>
      </c>
      <c r="B28" t="s">
        <v>7</v>
      </c>
      <c r="C28" s="2">
        <v>0</v>
      </c>
    </row>
    <row r="29" spans="1:3" x14ac:dyDescent="0.25">
      <c r="A29" s="1">
        <v>45809</v>
      </c>
      <c r="B29" t="s">
        <v>8</v>
      </c>
      <c r="C29" s="2">
        <v>0</v>
      </c>
    </row>
    <row r="30" spans="1:3" x14ac:dyDescent="0.25">
      <c r="A30" s="1">
        <v>45839</v>
      </c>
      <c r="B30" t="s">
        <v>2</v>
      </c>
      <c r="C30" s="2">
        <v>0</v>
      </c>
    </row>
    <row r="31" spans="1:3" x14ac:dyDescent="0.25">
      <c r="A31" s="1">
        <v>45839</v>
      </c>
      <c r="B31" t="s">
        <v>5</v>
      </c>
      <c r="C31" s="2">
        <v>97</v>
      </c>
    </row>
    <row r="32" spans="1:3" x14ac:dyDescent="0.25">
      <c r="A32" s="1">
        <v>45839</v>
      </c>
      <c r="B32" t="s">
        <v>3</v>
      </c>
      <c r="C32" s="2">
        <v>1395.75</v>
      </c>
    </row>
    <row r="33" spans="1:3" x14ac:dyDescent="0.25">
      <c r="A33" s="1">
        <v>45839</v>
      </c>
      <c r="B33" t="s">
        <v>6</v>
      </c>
      <c r="C33" s="2">
        <v>2056.17</v>
      </c>
    </row>
    <row r="34" spans="1:3" x14ac:dyDescent="0.25">
      <c r="A34" s="1">
        <v>45839</v>
      </c>
      <c r="B34" t="s">
        <v>4</v>
      </c>
      <c r="C34" s="2">
        <v>25714.67</v>
      </c>
    </row>
    <row r="35" spans="1:3" x14ac:dyDescent="0.25">
      <c r="A35" s="1">
        <v>45839</v>
      </c>
      <c r="B35" t="s">
        <v>7</v>
      </c>
      <c r="C35" s="2">
        <v>0</v>
      </c>
    </row>
    <row r="36" spans="1:3" x14ac:dyDescent="0.25">
      <c r="A36" s="1">
        <v>45839</v>
      </c>
      <c r="B36" t="s">
        <v>8</v>
      </c>
      <c r="C36" s="2">
        <v>0</v>
      </c>
    </row>
    <row r="37" spans="1:3" x14ac:dyDescent="0.25">
      <c r="A37" s="1">
        <v>45870</v>
      </c>
      <c r="B37" t="s">
        <v>2</v>
      </c>
      <c r="C37" s="2">
        <v>57.9</v>
      </c>
    </row>
    <row r="38" spans="1:3" x14ac:dyDescent="0.25">
      <c r="A38" s="1">
        <v>45870</v>
      </c>
      <c r="B38" t="s">
        <v>5</v>
      </c>
      <c r="C38" s="2">
        <v>57.9</v>
      </c>
    </row>
    <row r="39" spans="1:3" x14ac:dyDescent="0.25">
      <c r="A39" s="1">
        <v>45870</v>
      </c>
      <c r="B39" t="s">
        <v>3</v>
      </c>
      <c r="C39" s="2">
        <v>13822.12</v>
      </c>
    </row>
    <row r="40" spans="1:3" x14ac:dyDescent="0.25">
      <c r="A40" s="1">
        <v>45870</v>
      </c>
      <c r="B40" t="s">
        <v>6</v>
      </c>
      <c r="C40" s="2">
        <v>1736.09</v>
      </c>
    </row>
    <row r="41" spans="1:3" x14ac:dyDescent="0.25">
      <c r="A41" s="1">
        <v>45870</v>
      </c>
      <c r="B41" t="s">
        <v>4</v>
      </c>
      <c r="C41" s="2">
        <v>41201.01</v>
      </c>
    </row>
    <row r="42" spans="1:3" x14ac:dyDescent="0.25">
      <c r="A42" s="1">
        <v>45870</v>
      </c>
      <c r="B42" t="s">
        <v>7</v>
      </c>
      <c r="C42" s="2">
        <v>52278.6</v>
      </c>
    </row>
    <row r="43" spans="1:3" x14ac:dyDescent="0.25">
      <c r="A43" s="1">
        <v>45870</v>
      </c>
      <c r="B43" t="s">
        <v>8</v>
      </c>
      <c r="C43" s="2">
        <v>1789</v>
      </c>
    </row>
    <row r="44" spans="1:3" x14ac:dyDescent="0.25">
      <c r="A44" s="1">
        <v>45901</v>
      </c>
      <c r="B44" t="s">
        <v>2</v>
      </c>
      <c r="C44" s="2">
        <v>234.64</v>
      </c>
    </row>
    <row r="45" spans="1:3" x14ac:dyDescent="0.25">
      <c r="A45" s="1">
        <v>45901</v>
      </c>
      <c r="B45" t="s">
        <v>5</v>
      </c>
      <c r="C45" s="2">
        <v>273.74</v>
      </c>
    </row>
    <row r="46" spans="1:3" x14ac:dyDescent="0.25">
      <c r="A46" s="1">
        <v>45901</v>
      </c>
      <c r="B46" t="s">
        <v>3</v>
      </c>
      <c r="C46" s="2">
        <v>45403.9</v>
      </c>
    </row>
    <row r="47" spans="1:3" x14ac:dyDescent="0.25">
      <c r="A47" s="1">
        <v>45901</v>
      </c>
      <c r="B47" t="s">
        <v>6</v>
      </c>
      <c r="C47" s="2">
        <v>2119.4</v>
      </c>
    </row>
    <row r="48" spans="1:3" x14ac:dyDescent="0.25">
      <c r="A48" s="1">
        <v>45901</v>
      </c>
      <c r="B48" t="s">
        <v>4</v>
      </c>
      <c r="C48" s="2">
        <v>19887.05</v>
      </c>
    </row>
    <row r="49" spans="1:3" x14ac:dyDescent="0.25">
      <c r="A49" s="1">
        <v>45901</v>
      </c>
      <c r="B49" t="s">
        <v>7</v>
      </c>
      <c r="C49" s="2">
        <v>175012.74</v>
      </c>
    </row>
    <row r="50" spans="1:3" x14ac:dyDescent="0.25">
      <c r="A50" s="1">
        <v>45901</v>
      </c>
      <c r="B50" t="s">
        <v>8</v>
      </c>
      <c r="C50" s="2">
        <v>6121.05</v>
      </c>
    </row>
    <row r="51" spans="1:3" x14ac:dyDescent="0.25">
      <c r="A51" s="1">
        <v>45931</v>
      </c>
      <c r="B51" t="s">
        <v>2</v>
      </c>
      <c r="C51" s="2">
        <v>67.36</v>
      </c>
    </row>
    <row r="52" spans="1:3" x14ac:dyDescent="0.25">
      <c r="A52" s="1">
        <v>45931</v>
      </c>
      <c r="B52" t="s">
        <v>5</v>
      </c>
      <c r="C52" s="2">
        <v>67.36</v>
      </c>
    </row>
    <row r="53" spans="1:3" x14ac:dyDescent="0.25">
      <c r="A53" s="1">
        <v>45931</v>
      </c>
      <c r="B53" t="s">
        <v>3</v>
      </c>
      <c r="C53" s="2">
        <v>6016.07</v>
      </c>
    </row>
    <row r="54" spans="1:3" x14ac:dyDescent="0.25">
      <c r="A54" s="1">
        <v>45931</v>
      </c>
      <c r="B54" t="s">
        <v>6</v>
      </c>
      <c r="C54" s="2">
        <v>2259.5</v>
      </c>
    </row>
    <row r="55" spans="1:3" x14ac:dyDescent="0.25">
      <c r="A55" s="1">
        <v>45931</v>
      </c>
      <c r="B55" t="s">
        <v>4</v>
      </c>
      <c r="C55" s="2">
        <v>21417.18</v>
      </c>
    </row>
    <row r="56" spans="1:3" x14ac:dyDescent="0.25">
      <c r="A56" s="1">
        <v>45931</v>
      </c>
      <c r="B56" t="s">
        <v>7</v>
      </c>
      <c r="C56" s="2">
        <v>7738.19</v>
      </c>
    </row>
    <row r="57" spans="1:3" x14ac:dyDescent="0.25">
      <c r="A57" s="1">
        <v>45931</v>
      </c>
      <c r="B57" t="s">
        <v>8</v>
      </c>
      <c r="C57" s="2">
        <v>8332.81</v>
      </c>
    </row>
    <row r="58" spans="1:3" x14ac:dyDescent="0.25">
      <c r="A58" s="1">
        <v>45962</v>
      </c>
      <c r="B58" t="s">
        <v>2</v>
      </c>
      <c r="C58" s="2">
        <v>58.2</v>
      </c>
    </row>
    <row r="59" spans="1:3" x14ac:dyDescent="0.25">
      <c r="A59" s="1">
        <v>45962</v>
      </c>
      <c r="B59" t="s">
        <v>5</v>
      </c>
      <c r="C59" s="2">
        <v>70</v>
      </c>
    </row>
    <row r="60" spans="1:3" x14ac:dyDescent="0.25">
      <c r="A60" s="1">
        <v>45962</v>
      </c>
      <c r="B60" t="s">
        <v>3</v>
      </c>
      <c r="C60" s="2">
        <v>1785.35</v>
      </c>
    </row>
    <row r="61" spans="1:3" x14ac:dyDescent="0.25">
      <c r="A61" s="1">
        <v>45962</v>
      </c>
      <c r="B61" t="s">
        <v>6</v>
      </c>
      <c r="C61" s="2">
        <v>864.48</v>
      </c>
    </row>
    <row r="62" spans="1:3" x14ac:dyDescent="0.25">
      <c r="A62" s="1">
        <v>45962</v>
      </c>
      <c r="B62" t="s">
        <v>4</v>
      </c>
      <c r="C62" s="2">
        <v>10175.6</v>
      </c>
    </row>
    <row r="63" spans="1:3" x14ac:dyDescent="0.25">
      <c r="A63" s="1">
        <v>45962</v>
      </c>
      <c r="B63" t="s">
        <v>7</v>
      </c>
      <c r="C63" s="2">
        <v>10535.2</v>
      </c>
    </row>
    <row r="64" spans="1:3" x14ac:dyDescent="0.25">
      <c r="A64" s="1">
        <v>45962</v>
      </c>
      <c r="B64" t="s">
        <v>8</v>
      </c>
      <c r="C64" s="2">
        <v>2161.0500000000002</v>
      </c>
    </row>
    <row r="65" spans="1:3" x14ac:dyDescent="0.25">
      <c r="A65" s="1">
        <v>45992</v>
      </c>
      <c r="B65" t="s">
        <v>2</v>
      </c>
      <c r="C65" s="2">
        <v>0</v>
      </c>
    </row>
    <row r="66" spans="1:3" x14ac:dyDescent="0.25">
      <c r="A66" s="1">
        <v>45992</v>
      </c>
      <c r="B66" t="s">
        <v>5</v>
      </c>
      <c r="C66" s="2">
        <v>0</v>
      </c>
    </row>
    <row r="67" spans="1:3" x14ac:dyDescent="0.25">
      <c r="A67" s="1">
        <v>45992</v>
      </c>
      <c r="B67" t="s">
        <v>3</v>
      </c>
      <c r="C67" s="2">
        <v>2879.86</v>
      </c>
    </row>
    <row r="68" spans="1:3" x14ac:dyDescent="0.25">
      <c r="A68" s="1">
        <v>45992</v>
      </c>
      <c r="B68" t="s">
        <v>6</v>
      </c>
      <c r="C68" s="2">
        <v>0</v>
      </c>
    </row>
    <row r="69" spans="1:3" x14ac:dyDescent="0.25">
      <c r="A69" s="1">
        <v>45992</v>
      </c>
      <c r="B69" t="s">
        <v>4</v>
      </c>
      <c r="C69" s="2">
        <v>8584.91</v>
      </c>
    </row>
    <row r="70" spans="1:3" x14ac:dyDescent="0.25">
      <c r="A70" s="1">
        <v>45992</v>
      </c>
      <c r="B70" t="s">
        <v>7</v>
      </c>
      <c r="C70" s="2">
        <v>6079.6</v>
      </c>
    </row>
    <row r="71" spans="1:3" x14ac:dyDescent="0.25">
      <c r="A71" s="1">
        <v>45992</v>
      </c>
      <c r="B71" t="s">
        <v>8</v>
      </c>
      <c r="C71" s="2">
        <v>0</v>
      </c>
    </row>
    <row r="72" spans="1:3" x14ac:dyDescent="0.25">
      <c r="A72" s="1">
        <v>46023</v>
      </c>
      <c r="B72" t="s">
        <v>2</v>
      </c>
      <c r="C72" s="2">
        <v>0</v>
      </c>
    </row>
    <row r="73" spans="1:3" x14ac:dyDescent="0.25">
      <c r="A73" s="1">
        <v>46023</v>
      </c>
      <c r="B73" t="s">
        <v>5</v>
      </c>
      <c r="C73" s="2">
        <v>0</v>
      </c>
    </row>
    <row r="74" spans="1:3" x14ac:dyDescent="0.25">
      <c r="A74" s="1">
        <v>46023</v>
      </c>
      <c r="B74" t="s">
        <v>3</v>
      </c>
      <c r="C74" s="2">
        <v>4109.12</v>
      </c>
    </row>
    <row r="75" spans="1:3" x14ac:dyDescent="0.25">
      <c r="A75" s="1">
        <v>46023</v>
      </c>
      <c r="B75" t="s">
        <v>6</v>
      </c>
      <c r="C75" s="2">
        <v>862.72</v>
      </c>
    </row>
    <row r="76" spans="1:3" x14ac:dyDescent="0.25">
      <c r="A76" s="1">
        <v>46023</v>
      </c>
      <c r="B76" t="s">
        <v>4</v>
      </c>
      <c r="C76" s="2">
        <v>54441.599999999999</v>
      </c>
    </row>
    <row r="77" spans="1:3" x14ac:dyDescent="0.25">
      <c r="A77" s="1">
        <v>46023</v>
      </c>
      <c r="B77" t="s">
        <v>7</v>
      </c>
      <c r="C77" s="2">
        <v>2574.6999999999998</v>
      </c>
    </row>
    <row r="78" spans="1:3" x14ac:dyDescent="0.25">
      <c r="A78" s="1">
        <v>46023</v>
      </c>
      <c r="B78" t="s">
        <v>8</v>
      </c>
      <c r="C78" s="2">
        <v>434.4</v>
      </c>
    </row>
    <row r="79" spans="1:3" x14ac:dyDescent="0.25">
      <c r="A79" s="1">
        <v>46054</v>
      </c>
      <c r="B79" t="s">
        <v>2</v>
      </c>
      <c r="C79" s="2">
        <v>0</v>
      </c>
    </row>
    <row r="80" spans="1:3" x14ac:dyDescent="0.25">
      <c r="A80" s="1">
        <v>46054</v>
      </c>
      <c r="B80" t="s">
        <v>5</v>
      </c>
      <c r="C80" s="2">
        <v>0</v>
      </c>
    </row>
    <row r="81" spans="1:3" x14ac:dyDescent="0.25">
      <c r="A81" s="1">
        <v>46054</v>
      </c>
      <c r="B81" t="s">
        <v>3</v>
      </c>
      <c r="C81" s="2">
        <v>3076.39</v>
      </c>
    </row>
    <row r="82" spans="1:3" x14ac:dyDescent="0.25">
      <c r="A82" s="1">
        <v>46054</v>
      </c>
      <c r="B82" t="s">
        <v>6</v>
      </c>
      <c r="C82" s="2">
        <v>802.19</v>
      </c>
    </row>
    <row r="83" spans="1:3" x14ac:dyDescent="0.25">
      <c r="A83" s="1">
        <v>46054</v>
      </c>
      <c r="B83" t="s">
        <v>4</v>
      </c>
      <c r="C83" s="2">
        <v>6380.08</v>
      </c>
    </row>
    <row r="84" spans="1:3" x14ac:dyDescent="0.25">
      <c r="A84" s="1">
        <v>46054</v>
      </c>
      <c r="B84" t="s">
        <v>7</v>
      </c>
      <c r="C84" s="2">
        <v>3720.72</v>
      </c>
    </row>
    <row r="85" spans="1:3" x14ac:dyDescent="0.25">
      <c r="A85" s="1">
        <v>46054</v>
      </c>
      <c r="B85" t="s">
        <v>8</v>
      </c>
      <c r="C85" s="2">
        <v>0</v>
      </c>
    </row>
    <row r="86" spans="1:3" x14ac:dyDescent="0.25">
      <c r="A86" s="1">
        <v>46082</v>
      </c>
      <c r="B86" t="s">
        <v>9</v>
      </c>
      <c r="C86" s="2">
        <v>21820</v>
      </c>
    </row>
    <row r="87" spans="1:3" x14ac:dyDescent="0.25">
      <c r="A87" s="1">
        <v>46082</v>
      </c>
      <c r="B87" t="s">
        <v>10</v>
      </c>
      <c r="C87" s="2">
        <v>12771</v>
      </c>
    </row>
    <row r="88" spans="1:3" x14ac:dyDescent="0.25">
      <c r="A88" s="1">
        <v>46082</v>
      </c>
      <c r="B88" t="s">
        <v>2</v>
      </c>
      <c r="C88" s="2">
        <v>444.4</v>
      </c>
    </row>
    <row r="89" spans="1:3" x14ac:dyDescent="0.25">
      <c r="A89" s="1">
        <v>46082</v>
      </c>
      <c r="B89" t="s">
        <v>5</v>
      </c>
      <c r="C89" s="2">
        <v>347.4</v>
      </c>
    </row>
    <row r="90" spans="1:3" x14ac:dyDescent="0.25">
      <c r="A90" s="1">
        <v>46082</v>
      </c>
      <c r="B90" t="s">
        <v>3</v>
      </c>
      <c r="C90" s="2">
        <v>2388.6</v>
      </c>
    </row>
    <row r="91" spans="1:3" x14ac:dyDescent="0.25">
      <c r="A91" s="1">
        <v>46082</v>
      </c>
      <c r="B91" t="s">
        <v>6</v>
      </c>
      <c r="C91" s="2">
        <v>8112.4</v>
      </c>
    </row>
    <row r="92" spans="1:3" x14ac:dyDescent="0.25">
      <c r="A92" s="1">
        <v>46082</v>
      </c>
      <c r="B92" t="s">
        <v>4</v>
      </c>
      <c r="C92" s="2">
        <v>23434.65</v>
      </c>
    </row>
    <row r="93" spans="1:3" x14ac:dyDescent="0.25">
      <c r="A93" s="1">
        <v>46082</v>
      </c>
      <c r="B93" t="s">
        <v>7</v>
      </c>
      <c r="C93" s="2">
        <v>1860.36</v>
      </c>
    </row>
    <row r="94" spans="1:3" x14ac:dyDescent="0.25">
      <c r="A94" s="1">
        <v>46082</v>
      </c>
      <c r="B94" t="s">
        <v>8</v>
      </c>
      <c r="C94" s="2">
        <v>0</v>
      </c>
    </row>
    <row r="95" spans="1:3" x14ac:dyDescent="0.25">
      <c r="A95" s="1">
        <v>46113</v>
      </c>
      <c r="B95" t="s">
        <v>9</v>
      </c>
      <c r="C95" s="2">
        <v>47294.74</v>
      </c>
    </row>
    <row r="96" spans="1:3" x14ac:dyDescent="0.25">
      <c r="A96" s="1">
        <v>46113</v>
      </c>
      <c r="B96" t="s">
        <v>10</v>
      </c>
      <c r="C96" s="2">
        <v>35611.57</v>
      </c>
    </row>
    <row r="97" spans="1:5" x14ac:dyDescent="0.25">
      <c r="A97" s="1">
        <v>46113</v>
      </c>
      <c r="B97" t="s">
        <v>2</v>
      </c>
      <c r="C97" s="2">
        <v>128.30000000000001</v>
      </c>
    </row>
    <row r="98" spans="1:5" x14ac:dyDescent="0.25">
      <c r="A98" s="1">
        <v>46113</v>
      </c>
      <c r="B98" t="s">
        <v>5</v>
      </c>
      <c r="C98" s="2">
        <v>259.98</v>
      </c>
    </row>
    <row r="99" spans="1:5" x14ac:dyDescent="0.25">
      <c r="A99" s="1">
        <v>46113</v>
      </c>
      <c r="B99" t="s">
        <v>3</v>
      </c>
      <c r="C99" s="2">
        <v>8684.0400000000009</v>
      </c>
    </row>
    <row r="100" spans="1:5" x14ac:dyDescent="0.25">
      <c r="A100" s="1">
        <v>46113</v>
      </c>
      <c r="B100" t="s">
        <v>6</v>
      </c>
      <c r="C100" s="2">
        <v>7060.4</v>
      </c>
    </row>
    <row r="101" spans="1:5" x14ac:dyDescent="0.25">
      <c r="A101" s="1">
        <v>46113</v>
      </c>
      <c r="B101" t="s">
        <v>4</v>
      </c>
      <c r="C101" s="2">
        <v>52807.85</v>
      </c>
    </row>
    <row r="102" spans="1:5" x14ac:dyDescent="0.25">
      <c r="A102" s="1">
        <v>46113</v>
      </c>
      <c r="B102" t="s">
        <v>7</v>
      </c>
      <c r="C102" s="2">
        <v>2790.54</v>
      </c>
    </row>
    <row r="103" spans="1:5" x14ac:dyDescent="0.25">
      <c r="A103" s="1">
        <v>46113</v>
      </c>
      <c r="B103" t="s">
        <v>8</v>
      </c>
      <c r="C103" s="2">
        <v>0</v>
      </c>
    </row>
    <row r="104" spans="1:5" x14ac:dyDescent="0.25">
      <c r="A104" s="1">
        <v>46113</v>
      </c>
      <c r="B104" t="s">
        <v>11</v>
      </c>
      <c r="C104" s="2">
        <v>32605.9</v>
      </c>
      <c r="E104" s="4"/>
    </row>
    <row r="105" spans="1:5" x14ac:dyDescent="0.25">
      <c r="A105" s="1">
        <v>46143</v>
      </c>
      <c r="B105" t="s">
        <v>9</v>
      </c>
      <c r="C105" s="2">
        <v>18524.71</v>
      </c>
    </row>
    <row r="106" spans="1:5" x14ac:dyDescent="0.25">
      <c r="A106" s="1">
        <v>46143</v>
      </c>
      <c r="B106" t="s">
        <v>10</v>
      </c>
      <c r="C106" s="2">
        <v>27624.63</v>
      </c>
    </row>
    <row r="107" spans="1:5" x14ac:dyDescent="0.25">
      <c r="A107" s="1">
        <v>46143</v>
      </c>
      <c r="B107" t="s">
        <v>2</v>
      </c>
      <c r="C107" s="2">
        <v>0</v>
      </c>
    </row>
    <row r="108" spans="1:5" x14ac:dyDescent="0.25">
      <c r="A108" s="1">
        <v>46143</v>
      </c>
      <c r="B108" t="s">
        <v>5</v>
      </c>
      <c r="C108" s="2">
        <v>0</v>
      </c>
    </row>
    <row r="109" spans="1:5" x14ac:dyDescent="0.25">
      <c r="A109" s="1">
        <v>46143</v>
      </c>
      <c r="B109" t="s">
        <v>3</v>
      </c>
      <c r="C109" s="2">
        <v>14024.03</v>
      </c>
    </row>
    <row r="110" spans="1:5" x14ac:dyDescent="0.25">
      <c r="A110" s="1">
        <v>46143</v>
      </c>
      <c r="B110" t="s">
        <v>6</v>
      </c>
      <c r="C110" s="2">
        <v>397</v>
      </c>
    </row>
    <row r="111" spans="1:5" x14ac:dyDescent="0.25">
      <c r="A111" s="1">
        <v>46143</v>
      </c>
      <c r="B111" t="s">
        <v>4</v>
      </c>
      <c r="C111" s="2">
        <v>28972.98</v>
      </c>
    </row>
    <row r="112" spans="1:5" x14ac:dyDescent="0.25">
      <c r="A112" s="1">
        <v>46143</v>
      </c>
      <c r="B112" t="s">
        <v>7</v>
      </c>
      <c r="C112" s="2">
        <v>10846.05</v>
      </c>
      <c r="E112" s="4"/>
    </row>
    <row r="113" spans="1:5" x14ac:dyDescent="0.25">
      <c r="A113" s="1">
        <v>46143</v>
      </c>
      <c r="B113" t="s">
        <v>8</v>
      </c>
      <c r="C113" s="2">
        <v>816.8</v>
      </c>
    </row>
    <row r="114" spans="1:5" x14ac:dyDescent="0.25">
      <c r="A114" s="1">
        <v>46143</v>
      </c>
      <c r="B114" t="s">
        <v>11</v>
      </c>
      <c r="C114" s="2">
        <v>111211.56</v>
      </c>
      <c r="E114" s="4"/>
    </row>
    <row r="115" spans="1:5" x14ac:dyDescent="0.25">
      <c r="A115" s="1">
        <v>46174</v>
      </c>
      <c r="B115" t="s">
        <v>9</v>
      </c>
      <c r="C115" s="2">
        <v>26936.5</v>
      </c>
    </row>
    <row r="116" spans="1:5" x14ac:dyDescent="0.25">
      <c r="A116" s="1">
        <v>46174</v>
      </c>
      <c r="B116" t="s">
        <v>10</v>
      </c>
      <c r="C116" s="2">
        <v>14256</v>
      </c>
    </row>
    <row r="117" spans="1:5" x14ac:dyDescent="0.25">
      <c r="A117" s="1">
        <v>46174</v>
      </c>
      <c r="B117" t="s">
        <v>2</v>
      </c>
      <c r="C117" s="2">
        <v>158.97999999999999</v>
      </c>
    </row>
    <row r="118" spans="1:5" x14ac:dyDescent="0.25">
      <c r="A118" s="1">
        <v>46174</v>
      </c>
      <c r="B118" t="s">
        <v>5</v>
      </c>
      <c r="C118" s="2">
        <v>97</v>
      </c>
    </row>
    <row r="119" spans="1:5" x14ac:dyDescent="0.25">
      <c r="A119" s="1">
        <v>46174</v>
      </c>
      <c r="B119" t="s">
        <v>3</v>
      </c>
      <c r="C119" s="2">
        <v>8174.6</v>
      </c>
    </row>
    <row r="120" spans="1:5" x14ac:dyDescent="0.25">
      <c r="A120" s="1">
        <v>46174</v>
      </c>
      <c r="B120" t="s">
        <v>6</v>
      </c>
      <c r="C120" s="2">
        <v>664.66</v>
      </c>
    </row>
    <row r="121" spans="1:5" x14ac:dyDescent="0.25">
      <c r="A121" s="1">
        <v>46174</v>
      </c>
      <c r="B121" t="s">
        <v>4</v>
      </c>
      <c r="C121" s="2">
        <v>33226.85</v>
      </c>
    </row>
    <row r="122" spans="1:5" x14ac:dyDescent="0.25">
      <c r="A122" s="1">
        <v>46174</v>
      </c>
      <c r="B122" t="s">
        <v>7</v>
      </c>
      <c r="C122" s="2">
        <v>13782.54</v>
      </c>
    </row>
    <row r="123" spans="1:5" x14ac:dyDescent="0.25">
      <c r="A123" s="1">
        <v>46174</v>
      </c>
      <c r="B123" t="s">
        <v>8</v>
      </c>
      <c r="C123" s="2">
        <v>1391.38</v>
      </c>
    </row>
    <row r="124" spans="1:5" x14ac:dyDescent="0.25">
      <c r="A124" s="1">
        <v>46174</v>
      </c>
      <c r="B124" t="s">
        <v>11</v>
      </c>
      <c r="C124" s="2">
        <v>115283.61</v>
      </c>
    </row>
    <row r="125" spans="1:5" x14ac:dyDescent="0.25">
      <c r="A125" s="1">
        <v>46174</v>
      </c>
      <c r="B125" t="s">
        <v>111</v>
      </c>
      <c r="C125" s="2">
        <v>19990</v>
      </c>
    </row>
    <row r="126" spans="1:5" x14ac:dyDescent="0.25">
      <c r="A126" s="1">
        <v>46204</v>
      </c>
      <c r="B126" t="s">
        <v>2</v>
      </c>
      <c r="C126" s="2">
        <v>357.32</v>
      </c>
    </row>
    <row r="127" spans="1:5" x14ac:dyDescent="0.25">
      <c r="A127" s="1">
        <v>46204</v>
      </c>
      <c r="B127" t="s">
        <v>3</v>
      </c>
      <c r="C127" s="2">
        <v>2838.31</v>
      </c>
    </row>
    <row r="128" spans="1:5" x14ac:dyDescent="0.25">
      <c r="A128" s="1">
        <v>46204</v>
      </c>
      <c r="B128" t="s">
        <v>6</v>
      </c>
      <c r="C128" s="2">
        <v>397</v>
      </c>
    </row>
    <row r="129" spans="1:3" x14ac:dyDescent="0.25">
      <c r="A129" s="1">
        <v>46204</v>
      </c>
      <c r="B129" t="s">
        <v>7</v>
      </c>
      <c r="C129" s="2">
        <v>7889.66</v>
      </c>
    </row>
    <row r="130" spans="1:3" x14ac:dyDescent="0.25">
      <c r="A130" s="1">
        <v>46204</v>
      </c>
      <c r="B130" t="s">
        <v>11</v>
      </c>
      <c r="C130" s="2">
        <v>86445.28</v>
      </c>
    </row>
    <row r="131" spans="1:3" x14ac:dyDescent="0.25">
      <c r="A131" s="1">
        <v>46204</v>
      </c>
      <c r="B131" t="s">
        <v>10</v>
      </c>
      <c r="C131" s="2">
        <v>19236.009999999998</v>
      </c>
    </row>
    <row r="132" spans="1:3" x14ac:dyDescent="0.25">
      <c r="A132" s="1">
        <v>46204</v>
      </c>
      <c r="B132" t="s">
        <v>5</v>
      </c>
      <c r="C132" s="2">
        <v>559.91999999999996</v>
      </c>
    </row>
    <row r="133" spans="1:3" x14ac:dyDescent="0.25">
      <c r="A133" s="1">
        <v>46204</v>
      </c>
      <c r="B133" t="s">
        <v>9</v>
      </c>
      <c r="C133" s="2">
        <v>12353.44</v>
      </c>
    </row>
    <row r="134" spans="1:3" x14ac:dyDescent="0.25">
      <c r="A134" s="1">
        <v>46204</v>
      </c>
      <c r="B134" t="s">
        <v>4</v>
      </c>
      <c r="C134" s="2">
        <v>24499.55</v>
      </c>
    </row>
    <row r="135" spans="1:3" x14ac:dyDescent="0.25">
      <c r="A135" s="1">
        <v>46235</v>
      </c>
      <c r="B135" t="s">
        <v>3</v>
      </c>
      <c r="C135" s="2">
        <v>6307.08</v>
      </c>
    </row>
    <row r="136" spans="1:3" x14ac:dyDescent="0.25">
      <c r="A136" s="1">
        <v>46235</v>
      </c>
      <c r="B136" t="s">
        <v>139</v>
      </c>
      <c r="C136" s="2">
        <v>497</v>
      </c>
    </row>
    <row r="137" spans="1:3" x14ac:dyDescent="0.25">
      <c r="A137" s="1">
        <v>46235</v>
      </c>
      <c r="B137" t="s">
        <v>140</v>
      </c>
      <c r="C137" s="2">
        <v>6029.3</v>
      </c>
    </row>
    <row r="138" spans="1:3" x14ac:dyDescent="0.25">
      <c r="A138" s="1">
        <v>46235</v>
      </c>
      <c r="B138" t="s">
        <v>141</v>
      </c>
      <c r="C138" s="2">
        <v>43174.04</v>
      </c>
    </row>
    <row r="139" spans="1:3" x14ac:dyDescent="0.25">
      <c r="A139" s="1">
        <v>46235</v>
      </c>
      <c r="B139" t="s">
        <v>142</v>
      </c>
      <c r="C139" s="2">
        <v>11635.5</v>
      </c>
    </row>
    <row r="140" spans="1:3" x14ac:dyDescent="0.25">
      <c r="A140" s="1">
        <v>46266</v>
      </c>
      <c r="B140" t="s">
        <v>3</v>
      </c>
      <c r="C140" s="2">
        <v>5210.67</v>
      </c>
    </row>
    <row r="141" spans="1:3" x14ac:dyDescent="0.25">
      <c r="A141" s="1">
        <v>46266</v>
      </c>
      <c r="B141" t="s">
        <v>139</v>
      </c>
      <c r="C141" s="2">
        <v>550.25</v>
      </c>
    </row>
    <row r="142" spans="1:3" x14ac:dyDescent="0.25">
      <c r="A142" s="1">
        <v>46266</v>
      </c>
      <c r="B142" t="s">
        <v>140</v>
      </c>
      <c r="C142" s="2">
        <v>1365.37</v>
      </c>
    </row>
    <row r="143" spans="1:3" x14ac:dyDescent="0.25">
      <c r="A143" s="1">
        <v>46266</v>
      </c>
      <c r="B143" t="s">
        <v>141</v>
      </c>
      <c r="C143" s="2">
        <v>19456.439999999999</v>
      </c>
    </row>
    <row r="144" spans="1:3" x14ac:dyDescent="0.25">
      <c r="A144" s="1">
        <v>46266</v>
      </c>
      <c r="B144" t="s">
        <v>142</v>
      </c>
      <c r="C144" s="2">
        <v>17934.12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47FE-0B74-422F-9ED0-046BEB0B4F2B}">
  <dimension ref="A1:C58"/>
  <sheetViews>
    <sheetView showGridLines="0" topLeftCell="A40" workbookViewId="0">
      <selection activeCell="K58" sqref="K58"/>
    </sheetView>
  </sheetViews>
  <sheetFormatPr defaultRowHeight="15" x14ac:dyDescent="0.25"/>
  <cols>
    <col min="1" max="1" width="10.42578125" bestFit="1" customWidth="1"/>
    <col min="2" max="2" width="24.140625" bestFit="1" customWidth="1"/>
    <col min="3" max="3" width="29.85546875" bestFit="1" customWidth="1"/>
  </cols>
  <sheetData>
    <row r="1" spans="1:3" x14ac:dyDescent="0.25">
      <c r="A1" t="s">
        <v>0</v>
      </c>
      <c r="B1" t="s">
        <v>13</v>
      </c>
      <c r="C1" t="s">
        <v>17</v>
      </c>
    </row>
    <row r="2" spans="1:3" x14ac:dyDescent="0.25">
      <c r="A2" s="1">
        <v>45717</v>
      </c>
      <c r="B2" t="s">
        <v>14</v>
      </c>
      <c r="C2" s="2">
        <v>25087.200000000001</v>
      </c>
    </row>
    <row r="3" spans="1:3" x14ac:dyDescent="0.25">
      <c r="A3" s="1">
        <v>45717</v>
      </c>
      <c r="B3" t="s">
        <v>15</v>
      </c>
      <c r="C3" s="2">
        <v>26885.26</v>
      </c>
    </row>
    <row r="4" spans="1:3" x14ac:dyDescent="0.25">
      <c r="A4" s="1">
        <v>45717</v>
      </c>
      <c r="B4" t="s">
        <v>16</v>
      </c>
      <c r="C4" s="2">
        <v>297.51</v>
      </c>
    </row>
    <row r="5" spans="1:3" x14ac:dyDescent="0.25">
      <c r="A5" s="1">
        <v>45748</v>
      </c>
      <c r="B5" t="s">
        <v>14</v>
      </c>
      <c r="C5" s="2">
        <v>27379.45</v>
      </c>
    </row>
    <row r="6" spans="1:3" x14ac:dyDescent="0.25">
      <c r="A6" s="1">
        <v>45748</v>
      </c>
      <c r="B6" t="s">
        <v>15</v>
      </c>
      <c r="C6" s="2">
        <v>16604.349999999999</v>
      </c>
    </row>
    <row r="7" spans="1:3" x14ac:dyDescent="0.25">
      <c r="A7" s="1">
        <v>45748</v>
      </c>
      <c r="B7" t="s">
        <v>16</v>
      </c>
      <c r="C7" s="2">
        <v>7266.85</v>
      </c>
    </row>
    <row r="8" spans="1:3" x14ac:dyDescent="0.25">
      <c r="A8" s="1">
        <v>45778</v>
      </c>
      <c r="B8" t="s">
        <v>14</v>
      </c>
      <c r="C8" s="2">
        <v>29347.34</v>
      </c>
    </row>
    <row r="9" spans="1:3" x14ac:dyDescent="0.25">
      <c r="A9" s="1">
        <v>45778</v>
      </c>
      <c r="B9" t="s">
        <v>15</v>
      </c>
      <c r="C9" s="2">
        <v>11457.36</v>
      </c>
    </row>
    <row r="10" spans="1:3" x14ac:dyDescent="0.25">
      <c r="A10" s="1">
        <v>45778</v>
      </c>
      <c r="B10" t="s">
        <v>16</v>
      </c>
      <c r="C10" s="2">
        <v>4858.6899999999996</v>
      </c>
    </row>
    <row r="11" spans="1:3" x14ac:dyDescent="0.25">
      <c r="A11" s="1">
        <v>45809</v>
      </c>
      <c r="B11" t="s">
        <v>14</v>
      </c>
      <c r="C11" s="2">
        <v>5973.62</v>
      </c>
    </row>
    <row r="12" spans="1:3" x14ac:dyDescent="0.25">
      <c r="A12" s="1">
        <v>45809</v>
      </c>
      <c r="B12" t="s">
        <v>15</v>
      </c>
      <c r="C12" s="2">
        <v>9415.35</v>
      </c>
    </row>
    <row r="13" spans="1:3" x14ac:dyDescent="0.25">
      <c r="A13" s="1">
        <v>45809</v>
      </c>
      <c r="B13" t="s">
        <v>16</v>
      </c>
      <c r="C13" s="2">
        <v>3819.17</v>
      </c>
    </row>
    <row r="14" spans="1:3" x14ac:dyDescent="0.25">
      <c r="A14" s="1">
        <v>45839</v>
      </c>
      <c r="B14" t="s">
        <v>14</v>
      </c>
      <c r="C14" s="2">
        <v>8186.35</v>
      </c>
    </row>
    <row r="15" spans="1:3" x14ac:dyDescent="0.25">
      <c r="A15" s="1">
        <v>45839</v>
      </c>
      <c r="B15" t="s">
        <v>15</v>
      </c>
      <c r="C15" s="2">
        <v>2802.72</v>
      </c>
    </row>
    <row r="16" spans="1:3" x14ac:dyDescent="0.25">
      <c r="A16" s="1">
        <v>45839</v>
      </c>
      <c r="B16" t="s">
        <v>16</v>
      </c>
      <c r="C16" s="2">
        <v>7015.49</v>
      </c>
    </row>
    <row r="17" spans="1:3" x14ac:dyDescent="0.25">
      <c r="A17" s="1">
        <v>45870</v>
      </c>
      <c r="B17" t="s">
        <v>14</v>
      </c>
      <c r="C17" s="2">
        <v>80479.22</v>
      </c>
    </row>
    <row r="18" spans="1:3" x14ac:dyDescent="0.25">
      <c r="A18" s="1">
        <v>45870</v>
      </c>
      <c r="B18" t="s">
        <v>15</v>
      </c>
      <c r="C18" s="2">
        <v>22446.65</v>
      </c>
    </row>
    <row r="19" spans="1:3" x14ac:dyDescent="0.25">
      <c r="A19" s="1">
        <v>45870</v>
      </c>
      <c r="B19" t="s">
        <v>16</v>
      </c>
      <c r="C19" s="2">
        <v>14575.89</v>
      </c>
    </row>
    <row r="20" spans="1:3" x14ac:dyDescent="0.25">
      <c r="A20" s="1">
        <v>45901</v>
      </c>
      <c r="B20" t="s">
        <v>14</v>
      </c>
      <c r="C20" s="2">
        <v>9849.2900000000009</v>
      </c>
    </row>
    <row r="21" spans="1:3" x14ac:dyDescent="0.25">
      <c r="A21" s="1">
        <v>45901</v>
      </c>
      <c r="B21" t="s">
        <v>15</v>
      </c>
      <c r="C21" s="2">
        <v>173931.21</v>
      </c>
    </row>
    <row r="22" spans="1:3" x14ac:dyDescent="0.25">
      <c r="A22" s="1">
        <v>45901</v>
      </c>
      <c r="B22" t="s">
        <v>16</v>
      </c>
      <c r="C22" s="2">
        <v>15094.42</v>
      </c>
    </row>
    <row r="23" spans="1:3" x14ac:dyDescent="0.25">
      <c r="A23" s="1">
        <v>45931</v>
      </c>
      <c r="B23" t="s">
        <v>14</v>
      </c>
      <c r="C23" s="2">
        <v>16787.400000000001</v>
      </c>
    </row>
    <row r="24" spans="1:3" x14ac:dyDescent="0.25">
      <c r="A24" s="1">
        <v>45931</v>
      </c>
      <c r="B24" t="s">
        <v>15</v>
      </c>
      <c r="C24" s="2">
        <v>17845.599999999999</v>
      </c>
    </row>
    <row r="25" spans="1:3" x14ac:dyDescent="0.25">
      <c r="A25" s="1">
        <v>45931</v>
      </c>
      <c r="B25" t="s">
        <v>16</v>
      </c>
      <c r="C25" s="2">
        <v>13189.69</v>
      </c>
    </row>
    <row r="26" spans="1:3" x14ac:dyDescent="0.25">
      <c r="A26" s="1">
        <v>45962</v>
      </c>
      <c r="B26" t="s">
        <v>14</v>
      </c>
      <c r="C26" s="2">
        <v>12764</v>
      </c>
    </row>
    <row r="27" spans="1:3" x14ac:dyDescent="0.25">
      <c r="A27" s="1">
        <v>45962</v>
      </c>
      <c r="B27" t="s">
        <v>15</v>
      </c>
      <c r="C27" s="2">
        <v>5734.52</v>
      </c>
    </row>
    <row r="28" spans="1:3" x14ac:dyDescent="0.25">
      <c r="A28" s="1">
        <v>45962</v>
      </c>
      <c r="B28" t="s">
        <v>16</v>
      </c>
      <c r="C28" s="2">
        <v>5920.26</v>
      </c>
    </row>
    <row r="29" spans="1:3" x14ac:dyDescent="0.25">
      <c r="A29" s="1">
        <v>45992</v>
      </c>
      <c r="B29" t="s">
        <v>14</v>
      </c>
      <c r="C29" s="2">
        <v>6676.31</v>
      </c>
    </row>
    <row r="30" spans="1:3" x14ac:dyDescent="0.25">
      <c r="A30" s="1">
        <v>45992</v>
      </c>
      <c r="B30" t="s">
        <v>15</v>
      </c>
      <c r="C30" s="2">
        <v>4027.83</v>
      </c>
    </row>
    <row r="31" spans="1:3" x14ac:dyDescent="0.25">
      <c r="A31" s="1">
        <v>45992</v>
      </c>
      <c r="B31" t="s">
        <v>16</v>
      </c>
      <c r="C31" s="2">
        <v>4846.28</v>
      </c>
    </row>
    <row r="32" spans="1:3" x14ac:dyDescent="0.25">
      <c r="A32" s="1">
        <v>46023</v>
      </c>
      <c r="B32" t="s">
        <v>14</v>
      </c>
      <c r="C32" s="2">
        <v>25220.34</v>
      </c>
    </row>
    <row r="33" spans="1:3" x14ac:dyDescent="0.25">
      <c r="A33" s="1">
        <v>46023</v>
      </c>
      <c r="B33" t="s">
        <v>15</v>
      </c>
      <c r="C33" s="2">
        <v>16001.57</v>
      </c>
    </row>
    <row r="34" spans="1:3" x14ac:dyDescent="0.25">
      <c r="A34" s="1">
        <v>46023</v>
      </c>
      <c r="B34" t="s">
        <v>16</v>
      </c>
      <c r="C34" s="2">
        <v>11579.07</v>
      </c>
    </row>
    <row r="35" spans="1:3" x14ac:dyDescent="0.25">
      <c r="A35" s="1">
        <v>46054</v>
      </c>
      <c r="B35" t="s">
        <v>14</v>
      </c>
      <c r="C35" s="2">
        <v>12821.45</v>
      </c>
    </row>
    <row r="36" spans="1:3" x14ac:dyDescent="0.25">
      <c r="A36" s="1">
        <v>46054</v>
      </c>
      <c r="B36" t="s">
        <v>15</v>
      </c>
      <c r="C36" s="2">
        <v>2709.05</v>
      </c>
    </row>
    <row r="37" spans="1:3" x14ac:dyDescent="0.25">
      <c r="A37" s="1">
        <v>46054</v>
      </c>
      <c r="B37" t="s">
        <v>16</v>
      </c>
      <c r="C37" s="2">
        <v>5760.02</v>
      </c>
    </row>
    <row r="38" spans="1:3" x14ac:dyDescent="0.25">
      <c r="A38" s="1">
        <v>46082</v>
      </c>
      <c r="B38" t="s">
        <v>14</v>
      </c>
      <c r="C38" s="2">
        <v>10404.64</v>
      </c>
    </row>
    <row r="39" spans="1:3" x14ac:dyDescent="0.25">
      <c r="A39" s="1">
        <v>46082</v>
      </c>
      <c r="B39" t="s">
        <v>15</v>
      </c>
      <c r="C39" s="2">
        <v>42911.65</v>
      </c>
    </row>
    <row r="40" spans="1:3" x14ac:dyDescent="0.25">
      <c r="A40" s="1">
        <v>46082</v>
      </c>
      <c r="B40" t="s">
        <v>16</v>
      </c>
      <c r="C40" s="2">
        <v>11743.45</v>
      </c>
    </row>
    <row r="41" spans="1:3" x14ac:dyDescent="0.25">
      <c r="A41" s="1">
        <v>46113</v>
      </c>
      <c r="B41" t="s">
        <v>14</v>
      </c>
      <c r="C41" s="2">
        <v>55273.47</v>
      </c>
    </row>
    <row r="42" spans="1:3" x14ac:dyDescent="0.25">
      <c r="A42" s="1">
        <v>46113</v>
      </c>
      <c r="B42" t="s">
        <v>15</v>
      </c>
      <c r="C42" s="2">
        <v>87452.34</v>
      </c>
    </row>
    <row r="43" spans="1:3" x14ac:dyDescent="0.25">
      <c r="A43" s="1">
        <v>46113</v>
      </c>
      <c r="B43" t="s">
        <v>16</v>
      </c>
      <c r="C43" s="2">
        <v>18739.580000000002</v>
      </c>
    </row>
    <row r="44" spans="1:3" x14ac:dyDescent="0.25">
      <c r="A44" s="1">
        <v>46143</v>
      </c>
      <c r="B44" t="s">
        <v>14</v>
      </c>
      <c r="C44" s="2">
        <v>70444.62</v>
      </c>
    </row>
    <row r="45" spans="1:3" x14ac:dyDescent="0.25">
      <c r="A45" s="1">
        <v>46143</v>
      </c>
      <c r="B45" t="s">
        <v>15</v>
      </c>
      <c r="C45" s="2">
        <v>108036.43</v>
      </c>
    </row>
    <row r="46" spans="1:3" x14ac:dyDescent="0.25">
      <c r="A46" s="1">
        <v>46143</v>
      </c>
      <c r="B46" t="s">
        <v>16</v>
      </c>
      <c r="C46" s="2">
        <v>12106.14</v>
      </c>
    </row>
    <row r="47" spans="1:3" x14ac:dyDescent="0.25">
      <c r="A47" s="1">
        <v>46174</v>
      </c>
      <c r="B47" t="s">
        <v>14</v>
      </c>
      <c r="C47" s="2">
        <v>31609.14</v>
      </c>
    </row>
    <row r="48" spans="1:3" x14ac:dyDescent="0.25">
      <c r="A48" s="1">
        <v>46174</v>
      </c>
      <c r="B48" t="s">
        <v>15</v>
      </c>
      <c r="C48" s="2">
        <v>112410.7</v>
      </c>
    </row>
    <row r="49" spans="1:3" x14ac:dyDescent="0.25">
      <c r="A49" s="1">
        <v>46174</v>
      </c>
      <c r="B49" t="s">
        <v>16</v>
      </c>
      <c r="C49" s="2">
        <v>47407.42</v>
      </c>
    </row>
    <row r="50" spans="1:3" x14ac:dyDescent="0.25">
      <c r="A50" s="1">
        <v>46204</v>
      </c>
      <c r="B50" t="s">
        <v>14</v>
      </c>
      <c r="C50" s="2">
        <v>47379.01</v>
      </c>
    </row>
    <row r="51" spans="1:3" x14ac:dyDescent="0.25">
      <c r="A51" s="1">
        <v>46204</v>
      </c>
      <c r="B51" t="s">
        <v>15</v>
      </c>
      <c r="C51" s="2">
        <v>57286.29</v>
      </c>
    </row>
    <row r="52" spans="1:3" x14ac:dyDescent="0.25">
      <c r="A52" s="1">
        <v>46204</v>
      </c>
      <c r="B52" t="s">
        <v>16</v>
      </c>
      <c r="C52" s="2">
        <v>49346.37</v>
      </c>
    </row>
    <row r="53" spans="1:3" x14ac:dyDescent="0.25">
      <c r="A53" s="1">
        <v>46235</v>
      </c>
      <c r="B53" t="s">
        <v>14</v>
      </c>
      <c r="C53" s="2">
        <v>21639.200000000001</v>
      </c>
    </row>
    <row r="54" spans="1:3" x14ac:dyDescent="0.25">
      <c r="A54" s="1">
        <v>46235</v>
      </c>
      <c r="B54" t="s">
        <v>15</v>
      </c>
      <c r="C54" s="2">
        <v>22452.87</v>
      </c>
    </row>
    <row r="55" spans="1:3" x14ac:dyDescent="0.25">
      <c r="A55" s="1">
        <v>46235</v>
      </c>
      <c r="B55" t="s">
        <v>16</v>
      </c>
      <c r="C55" s="2">
        <v>25161.86</v>
      </c>
    </row>
    <row r="56" spans="1:3" x14ac:dyDescent="0.25">
      <c r="A56" s="1">
        <v>46266</v>
      </c>
      <c r="B56" t="s">
        <v>14</v>
      </c>
      <c r="C56" s="2">
        <v>17511.150000000001</v>
      </c>
    </row>
    <row r="57" spans="1:3" x14ac:dyDescent="0.25">
      <c r="A57" s="1">
        <v>46266</v>
      </c>
      <c r="B57" t="s">
        <v>15</v>
      </c>
      <c r="C57" s="2">
        <v>14571.63</v>
      </c>
    </row>
    <row r="58" spans="1:3" x14ac:dyDescent="0.25">
      <c r="A58" s="1">
        <v>46266</v>
      </c>
      <c r="B58" t="s">
        <v>16</v>
      </c>
      <c r="C58" s="2">
        <v>18280.62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8E52-2023-4B1D-BCCE-9B6146F0E619}">
  <dimension ref="A1:C96"/>
  <sheetViews>
    <sheetView showGridLines="0" topLeftCell="A75" workbookViewId="0">
      <selection activeCell="I93" sqref="I93"/>
    </sheetView>
  </sheetViews>
  <sheetFormatPr defaultRowHeight="15" x14ac:dyDescent="0.25"/>
  <cols>
    <col min="1" max="1" width="10.42578125" bestFit="1" customWidth="1"/>
    <col min="2" max="2" width="19.7109375" bestFit="1" customWidth="1"/>
    <col min="3" max="3" width="24" bestFit="1" customWidth="1"/>
  </cols>
  <sheetData>
    <row r="1" spans="1:3" x14ac:dyDescent="0.25">
      <c r="A1" t="s">
        <v>0</v>
      </c>
      <c r="B1" t="s">
        <v>24</v>
      </c>
      <c r="C1" t="s">
        <v>25</v>
      </c>
    </row>
    <row r="2" spans="1:3" x14ac:dyDescent="0.25">
      <c r="A2" s="1">
        <v>45717</v>
      </c>
      <c r="B2" t="s">
        <v>19</v>
      </c>
      <c r="C2" s="2">
        <v>27713.67</v>
      </c>
    </row>
    <row r="3" spans="1:3" x14ac:dyDescent="0.25">
      <c r="A3" s="1">
        <v>45717</v>
      </c>
      <c r="B3" t="s">
        <v>20</v>
      </c>
      <c r="C3" s="2">
        <v>91076.28</v>
      </c>
    </row>
    <row r="4" spans="1:3" x14ac:dyDescent="0.25">
      <c r="A4" s="1">
        <v>45717</v>
      </c>
      <c r="B4" t="s">
        <v>21</v>
      </c>
      <c r="C4" s="2">
        <v>297.51</v>
      </c>
    </row>
    <row r="5" spans="1:3" x14ac:dyDescent="0.25">
      <c r="A5" s="1">
        <v>45717</v>
      </c>
      <c r="B5" t="s">
        <v>22</v>
      </c>
      <c r="C5" s="2">
        <v>0</v>
      </c>
    </row>
    <row r="6" spans="1:3" x14ac:dyDescent="0.25">
      <c r="A6" s="1">
        <v>45717</v>
      </c>
      <c r="B6" t="s">
        <v>23</v>
      </c>
      <c r="C6" s="2">
        <v>7000</v>
      </c>
    </row>
    <row r="7" spans="1:3" x14ac:dyDescent="0.25">
      <c r="A7" s="1">
        <v>45748</v>
      </c>
      <c r="B7" t="s">
        <v>19</v>
      </c>
      <c r="C7" s="2">
        <v>32954.730000000003</v>
      </c>
    </row>
    <row r="8" spans="1:3" x14ac:dyDescent="0.25">
      <c r="A8" s="1">
        <v>45748</v>
      </c>
      <c r="B8" t="s">
        <v>20</v>
      </c>
      <c r="C8" s="2">
        <v>87678.64</v>
      </c>
    </row>
    <row r="9" spans="1:3" x14ac:dyDescent="0.25">
      <c r="A9" s="1">
        <v>45748</v>
      </c>
      <c r="B9" t="s">
        <v>21</v>
      </c>
      <c r="C9" s="2">
        <v>7564.36</v>
      </c>
    </row>
    <row r="10" spans="1:3" x14ac:dyDescent="0.25">
      <c r="A10" s="1">
        <v>45748</v>
      </c>
      <c r="B10" t="s">
        <v>22</v>
      </c>
      <c r="C10" s="2">
        <v>0</v>
      </c>
    </row>
    <row r="11" spans="1:3" x14ac:dyDescent="0.25">
      <c r="A11" s="1">
        <v>45748</v>
      </c>
      <c r="B11" t="s">
        <v>23</v>
      </c>
      <c r="C11" s="2">
        <v>8000</v>
      </c>
    </row>
    <row r="12" spans="1:3" x14ac:dyDescent="0.25">
      <c r="A12" s="1">
        <v>45778</v>
      </c>
      <c r="B12" t="s">
        <v>19</v>
      </c>
      <c r="C12" s="2">
        <v>57022.87</v>
      </c>
    </row>
    <row r="13" spans="1:3" x14ac:dyDescent="0.25">
      <c r="A13" s="1">
        <v>45778</v>
      </c>
      <c r="B13" t="s">
        <v>20</v>
      </c>
      <c r="C13" s="2">
        <v>77637.009999999995</v>
      </c>
    </row>
    <row r="14" spans="1:3" x14ac:dyDescent="0.25">
      <c r="A14" s="1">
        <v>45778</v>
      </c>
      <c r="B14" t="s">
        <v>21</v>
      </c>
      <c r="C14" s="2">
        <v>12423.05</v>
      </c>
    </row>
    <row r="15" spans="1:3" x14ac:dyDescent="0.25">
      <c r="A15" s="1">
        <v>45778</v>
      </c>
      <c r="B15" t="s">
        <v>22</v>
      </c>
      <c r="C15" s="2">
        <v>0</v>
      </c>
    </row>
    <row r="16" spans="1:3" x14ac:dyDescent="0.25">
      <c r="A16" s="1">
        <v>45778</v>
      </c>
      <c r="B16" t="s">
        <v>23</v>
      </c>
      <c r="C16" s="2">
        <v>13000</v>
      </c>
    </row>
    <row r="17" spans="1:3" x14ac:dyDescent="0.25">
      <c r="A17" s="1">
        <v>45809</v>
      </c>
      <c r="B17" t="s">
        <v>19</v>
      </c>
      <c r="C17" s="2">
        <v>21907.22</v>
      </c>
    </row>
    <row r="18" spans="1:3" x14ac:dyDescent="0.25">
      <c r="A18" s="1">
        <v>45809</v>
      </c>
      <c r="B18" t="s">
        <v>20</v>
      </c>
      <c r="C18" s="2">
        <v>87052.36</v>
      </c>
    </row>
    <row r="19" spans="1:3" x14ac:dyDescent="0.25">
      <c r="A19" s="1">
        <v>45809</v>
      </c>
      <c r="B19" t="s">
        <v>21</v>
      </c>
      <c r="C19" s="2">
        <v>16242.22</v>
      </c>
    </row>
    <row r="20" spans="1:3" x14ac:dyDescent="0.25">
      <c r="A20" s="1">
        <v>45809</v>
      </c>
      <c r="B20" t="s">
        <v>22</v>
      </c>
      <c r="C20" s="2">
        <v>0</v>
      </c>
    </row>
    <row r="21" spans="1:3" x14ac:dyDescent="0.25">
      <c r="A21" s="1">
        <v>45809</v>
      </c>
      <c r="B21" t="s">
        <v>23</v>
      </c>
      <c r="C21" s="2">
        <v>13000</v>
      </c>
    </row>
    <row r="22" spans="1:3" x14ac:dyDescent="0.25">
      <c r="A22" s="1">
        <v>45839</v>
      </c>
      <c r="B22" t="s">
        <v>19</v>
      </c>
      <c r="C22" s="2">
        <v>46763.45</v>
      </c>
    </row>
    <row r="23" spans="1:3" x14ac:dyDescent="0.25">
      <c r="A23" s="1">
        <v>45839</v>
      </c>
      <c r="B23" t="s">
        <v>20</v>
      </c>
      <c r="C23" s="2">
        <v>59853.09</v>
      </c>
    </row>
    <row r="24" spans="1:3" x14ac:dyDescent="0.25">
      <c r="A24" s="1">
        <v>45839</v>
      </c>
      <c r="B24" t="s">
        <v>21</v>
      </c>
      <c r="C24" s="2">
        <v>5266.53</v>
      </c>
    </row>
    <row r="25" spans="1:3" x14ac:dyDescent="0.25">
      <c r="A25" s="1">
        <v>45839</v>
      </c>
      <c r="B25" t="s">
        <v>22</v>
      </c>
      <c r="C25" s="2">
        <v>0</v>
      </c>
    </row>
    <row r="26" spans="1:3" x14ac:dyDescent="0.25">
      <c r="A26" s="1">
        <v>45839</v>
      </c>
      <c r="B26" t="s">
        <v>23</v>
      </c>
      <c r="C26" s="2">
        <v>13000</v>
      </c>
    </row>
    <row r="27" spans="1:3" x14ac:dyDescent="0.25">
      <c r="A27" s="1">
        <v>45870</v>
      </c>
      <c r="B27" t="s">
        <v>19</v>
      </c>
      <c r="C27" s="2">
        <v>39916.89</v>
      </c>
    </row>
    <row r="28" spans="1:3" x14ac:dyDescent="0.25">
      <c r="A28" s="1">
        <v>45870</v>
      </c>
      <c r="B28" t="s">
        <v>20</v>
      </c>
      <c r="C28" s="2">
        <v>82314.14</v>
      </c>
    </row>
    <row r="29" spans="1:3" x14ac:dyDescent="0.25">
      <c r="A29" s="1">
        <v>45870</v>
      </c>
      <c r="B29" t="s">
        <v>21</v>
      </c>
      <c r="C29" s="2">
        <v>19842.419999999998</v>
      </c>
    </row>
    <row r="30" spans="1:3" x14ac:dyDescent="0.25">
      <c r="A30" s="1">
        <v>45870</v>
      </c>
      <c r="B30" t="s">
        <v>22</v>
      </c>
      <c r="C30" s="2">
        <v>70000</v>
      </c>
    </row>
    <row r="31" spans="1:3" x14ac:dyDescent="0.25">
      <c r="A31" s="1">
        <v>45870</v>
      </c>
      <c r="B31" t="s">
        <v>23</v>
      </c>
      <c r="C31" s="2">
        <v>13000</v>
      </c>
    </row>
    <row r="32" spans="1:3" x14ac:dyDescent="0.25">
      <c r="A32" s="1">
        <v>45901</v>
      </c>
      <c r="B32" t="s">
        <v>19</v>
      </c>
      <c r="C32" s="2">
        <v>21787.9</v>
      </c>
    </row>
    <row r="33" spans="1:3" x14ac:dyDescent="0.25">
      <c r="A33" s="1">
        <v>45901</v>
      </c>
      <c r="B33" t="s">
        <v>20</v>
      </c>
      <c r="C33" s="2">
        <v>233803.76</v>
      </c>
    </row>
    <row r="34" spans="1:3" x14ac:dyDescent="0.25">
      <c r="A34" s="1">
        <v>45901</v>
      </c>
      <c r="B34" t="s">
        <v>21</v>
      </c>
      <c r="C34" s="2">
        <v>3953.83</v>
      </c>
    </row>
    <row r="35" spans="1:3" x14ac:dyDescent="0.25">
      <c r="A35" s="1">
        <v>45901</v>
      </c>
      <c r="B35" t="s">
        <v>22</v>
      </c>
      <c r="C35" s="2">
        <v>1.32</v>
      </c>
    </row>
    <row r="36" spans="1:3" x14ac:dyDescent="0.25">
      <c r="A36" s="1">
        <v>45901</v>
      </c>
      <c r="B36" t="s">
        <v>23</v>
      </c>
      <c r="C36" s="2">
        <v>11460.15</v>
      </c>
    </row>
    <row r="37" spans="1:3" x14ac:dyDescent="0.25">
      <c r="A37" s="1">
        <v>45931</v>
      </c>
      <c r="B37" t="s">
        <v>19</v>
      </c>
      <c r="C37" s="2">
        <v>4696.32</v>
      </c>
    </row>
    <row r="38" spans="1:3" x14ac:dyDescent="0.25">
      <c r="A38" s="1">
        <v>45931</v>
      </c>
      <c r="B38" t="s">
        <v>20</v>
      </c>
      <c r="C38" s="2">
        <v>71725.759999999995</v>
      </c>
    </row>
    <row r="39" spans="1:3" x14ac:dyDescent="0.25">
      <c r="A39" s="1">
        <v>45931</v>
      </c>
      <c r="B39" t="s">
        <v>21</v>
      </c>
      <c r="C39" s="2">
        <v>7766.93</v>
      </c>
    </row>
    <row r="40" spans="1:3" x14ac:dyDescent="0.25">
      <c r="A40" s="1">
        <v>45931</v>
      </c>
      <c r="B40" t="s">
        <v>22</v>
      </c>
      <c r="C40" s="2">
        <v>172460.31</v>
      </c>
    </row>
    <row r="41" spans="1:3" x14ac:dyDescent="0.25">
      <c r="A41" s="1">
        <v>45931</v>
      </c>
      <c r="B41" t="s">
        <v>23</v>
      </c>
      <c r="C41" s="2">
        <v>24460.15</v>
      </c>
    </row>
    <row r="42" spans="1:3" x14ac:dyDescent="0.25">
      <c r="A42" s="1">
        <v>45962</v>
      </c>
      <c r="B42" t="s">
        <v>19</v>
      </c>
      <c r="C42" s="2">
        <v>7194.68</v>
      </c>
    </row>
    <row r="43" spans="1:3" x14ac:dyDescent="0.25">
      <c r="A43" s="1">
        <v>45962</v>
      </c>
      <c r="B43" t="s">
        <v>20</v>
      </c>
      <c r="C43" s="2">
        <v>77471.48</v>
      </c>
    </row>
    <row r="44" spans="1:3" x14ac:dyDescent="0.25">
      <c r="A44" s="1">
        <v>45962</v>
      </c>
      <c r="B44" t="s">
        <v>21</v>
      </c>
      <c r="C44" s="2">
        <v>13687.19</v>
      </c>
    </row>
    <row r="45" spans="1:3" x14ac:dyDescent="0.25">
      <c r="A45" s="1">
        <v>45962</v>
      </c>
      <c r="B45" t="s">
        <v>22</v>
      </c>
      <c r="C45" s="2">
        <v>150561.06</v>
      </c>
    </row>
    <row r="46" spans="1:3" x14ac:dyDescent="0.25">
      <c r="A46" s="1">
        <v>45962</v>
      </c>
      <c r="B46" t="s">
        <v>23</v>
      </c>
      <c r="C46" s="2">
        <v>24908.35</v>
      </c>
    </row>
    <row r="47" spans="1:3" x14ac:dyDescent="0.25">
      <c r="A47" s="1">
        <v>45992</v>
      </c>
      <c r="B47" t="s">
        <v>19</v>
      </c>
      <c r="C47" s="2">
        <v>2414.9299999999998</v>
      </c>
    </row>
    <row r="48" spans="1:3" x14ac:dyDescent="0.25">
      <c r="A48" s="1">
        <v>45992</v>
      </c>
      <c r="B48" t="s">
        <v>20</v>
      </c>
      <c r="C48" s="2">
        <v>81508.91</v>
      </c>
    </row>
    <row r="49" spans="1:3" x14ac:dyDescent="0.25">
      <c r="A49" s="1">
        <v>45992</v>
      </c>
      <c r="B49" t="s">
        <v>21</v>
      </c>
      <c r="C49" s="2">
        <v>18533.47</v>
      </c>
    </row>
    <row r="50" spans="1:3" x14ac:dyDescent="0.25">
      <c r="A50" s="1">
        <v>45992</v>
      </c>
      <c r="B50" t="s">
        <v>22</v>
      </c>
      <c r="C50" s="2">
        <v>151138.17000000001</v>
      </c>
    </row>
    <row r="51" spans="1:3" x14ac:dyDescent="0.25">
      <c r="A51" s="1">
        <v>45992</v>
      </c>
      <c r="B51" t="s">
        <v>23</v>
      </c>
      <c r="C51" s="2">
        <v>25794.94</v>
      </c>
    </row>
    <row r="52" spans="1:3" x14ac:dyDescent="0.25">
      <c r="A52" s="1">
        <v>46023</v>
      </c>
      <c r="B52" t="s">
        <v>19</v>
      </c>
      <c r="C52" s="2">
        <v>9567.7800000000007</v>
      </c>
    </row>
    <row r="53" spans="1:3" x14ac:dyDescent="0.25">
      <c r="A53" s="1">
        <v>46023</v>
      </c>
      <c r="B53" t="s">
        <v>20</v>
      </c>
      <c r="C53" s="2">
        <v>95513.48</v>
      </c>
    </row>
    <row r="54" spans="1:3" x14ac:dyDescent="0.25">
      <c r="A54" s="1">
        <v>46023</v>
      </c>
      <c r="B54" t="s">
        <v>21</v>
      </c>
      <c r="C54" s="2">
        <v>30112.54</v>
      </c>
    </row>
    <row r="55" spans="1:3" x14ac:dyDescent="0.25">
      <c r="A55" s="1">
        <v>46023</v>
      </c>
      <c r="B55" t="s">
        <v>22</v>
      </c>
      <c r="C55" s="2">
        <v>141628.46</v>
      </c>
    </row>
    <row r="56" spans="1:3" x14ac:dyDescent="0.25">
      <c r="A56" s="1">
        <v>46023</v>
      </c>
      <c r="B56" t="s">
        <v>23</v>
      </c>
      <c r="C56" s="2">
        <v>24908.35</v>
      </c>
    </row>
    <row r="57" spans="1:3" x14ac:dyDescent="0.25">
      <c r="A57" s="1">
        <v>46054</v>
      </c>
      <c r="B57" t="s">
        <v>19</v>
      </c>
      <c r="C57" s="2">
        <v>22378.21</v>
      </c>
    </row>
    <row r="58" spans="1:3" x14ac:dyDescent="0.25">
      <c r="A58" s="1">
        <v>46054</v>
      </c>
      <c r="B58" t="s">
        <v>20</v>
      </c>
      <c r="C58" s="2">
        <v>98238.53</v>
      </c>
    </row>
    <row r="59" spans="1:3" x14ac:dyDescent="0.25">
      <c r="A59" s="1">
        <v>46054</v>
      </c>
      <c r="B59" t="s">
        <v>21</v>
      </c>
      <c r="C59" s="2">
        <v>1388.7</v>
      </c>
    </row>
    <row r="60" spans="1:3" x14ac:dyDescent="0.25">
      <c r="A60" s="1">
        <v>46054</v>
      </c>
      <c r="B60" t="s">
        <v>22</v>
      </c>
      <c r="C60" s="2">
        <v>121802.65</v>
      </c>
    </row>
    <row r="61" spans="1:3" x14ac:dyDescent="0.25">
      <c r="A61" s="1">
        <v>46054</v>
      </c>
      <c r="B61" t="s">
        <v>23</v>
      </c>
      <c r="C61" s="2">
        <v>24908.35</v>
      </c>
    </row>
    <row r="62" spans="1:3" x14ac:dyDescent="0.25">
      <c r="A62" s="1">
        <v>46082</v>
      </c>
      <c r="B62" t="s">
        <v>19</v>
      </c>
      <c r="C62" s="2">
        <v>8.67</v>
      </c>
    </row>
    <row r="63" spans="1:3" x14ac:dyDescent="0.25">
      <c r="A63" s="1">
        <v>46082</v>
      </c>
      <c r="B63" t="s">
        <v>20</v>
      </c>
      <c r="C63" s="2">
        <v>141125.98000000001</v>
      </c>
    </row>
    <row r="64" spans="1:3" x14ac:dyDescent="0.25">
      <c r="A64" s="1">
        <v>46082</v>
      </c>
      <c r="B64" t="s">
        <v>21</v>
      </c>
      <c r="C64" s="2">
        <v>13132.15</v>
      </c>
    </row>
    <row r="65" spans="1:3" x14ac:dyDescent="0.25">
      <c r="A65" s="1">
        <v>46082</v>
      </c>
      <c r="B65" t="s">
        <v>22</v>
      </c>
      <c r="C65" s="2">
        <v>63455.31</v>
      </c>
    </row>
    <row r="66" spans="1:3" x14ac:dyDescent="0.25">
      <c r="A66" s="1">
        <v>46082</v>
      </c>
      <c r="B66" t="s">
        <v>23</v>
      </c>
      <c r="C66" s="2">
        <v>26508.41</v>
      </c>
    </row>
    <row r="67" spans="1:3" x14ac:dyDescent="0.25">
      <c r="A67" s="1">
        <v>46113</v>
      </c>
      <c r="B67" t="s">
        <v>19</v>
      </c>
      <c r="C67" s="2">
        <v>38159.46</v>
      </c>
    </row>
    <row r="68" spans="1:3" x14ac:dyDescent="0.25">
      <c r="A68" s="1">
        <v>46113</v>
      </c>
      <c r="B68" t="s">
        <v>20</v>
      </c>
      <c r="C68" s="2">
        <v>160294.26</v>
      </c>
    </row>
    <row r="69" spans="1:3" x14ac:dyDescent="0.25">
      <c r="A69" s="1">
        <v>46113</v>
      </c>
      <c r="B69" t="s">
        <v>21</v>
      </c>
      <c r="C69" s="2">
        <v>31871.73</v>
      </c>
    </row>
    <row r="70" spans="1:3" x14ac:dyDescent="0.25">
      <c r="A70" s="1">
        <v>46113</v>
      </c>
      <c r="B70" t="s">
        <v>22</v>
      </c>
      <c r="C70" s="2">
        <v>5149.32</v>
      </c>
    </row>
    <row r="71" spans="1:3" x14ac:dyDescent="0.25">
      <c r="A71" s="1">
        <v>46113</v>
      </c>
      <c r="B71" t="s">
        <v>23</v>
      </c>
      <c r="C71" s="2">
        <v>26739.52</v>
      </c>
    </row>
    <row r="72" spans="1:3" x14ac:dyDescent="0.25">
      <c r="A72" s="1">
        <v>46143</v>
      </c>
      <c r="B72" t="s">
        <v>19</v>
      </c>
      <c r="C72" s="2">
        <v>193259.91</v>
      </c>
    </row>
    <row r="73" spans="1:3" x14ac:dyDescent="0.25">
      <c r="A73" s="1">
        <v>46143</v>
      </c>
      <c r="B73" t="s">
        <v>20</v>
      </c>
      <c r="C73" s="2">
        <v>114065.46</v>
      </c>
    </row>
    <row r="74" spans="1:3" x14ac:dyDescent="0.25">
      <c r="A74" s="1">
        <v>46143</v>
      </c>
      <c r="B74" t="s">
        <v>21</v>
      </c>
      <c r="C74" s="2">
        <v>4186.5</v>
      </c>
    </row>
    <row r="75" spans="1:3" x14ac:dyDescent="0.25">
      <c r="A75" s="1">
        <v>46143</v>
      </c>
      <c r="B75" t="s">
        <v>22</v>
      </c>
      <c r="C75" s="2">
        <v>3169.42</v>
      </c>
    </row>
    <row r="76" spans="1:3" x14ac:dyDescent="0.25">
      <c r="A76" s="1">
        <v>46143</v>
      </c>
      <c r="B76" t="s">
        <v>23</v>
      </c>
      <c r="C76" s="2">
        <v>26980.42</v>
      </c>
    </row>
    <row r="77" spans="1:3" x14ac:dyDescent="0.25">
      <c r="A77" s="1">
        <v>46174</v>
      </c>
      <c r="B77" t="s">
        <v>19</v>
      </c>
      <c r="C77" s="2">
        <v>3403.1</v>
      </c>
    </row>
    <row r="78" spans="1:3" x14ac:dyDescent="0.25">
      <c r="A78" s="1">
        <v>46174</v>
      </c>
      <c r="B78" t="s">
        <v>20</v>
      </c>
      <c r="C78" s="2">
        <v>227677.25</v>
      </c>
    </row>
    <row r="79" spans="1:3" x14ac:dyDescent="0.25">
      <c r="A79" s="1">
        <v>46174</v>
      </c>
      <c r="B79" t="s">
        <v>21</v>
      </c>
      <c r="C79" s="2">
        <v>393.85</v>
      </c>
    </row>
    <row r="80" spans="1:3" x14ac:dyDescent="0.25">
      <c r="A80" s="1">
        <v>46174</v>
      </c>
      <c r="B80" t="s">
        <v>22</v>
      </c>
      <c r="C80" s="2">
        <v>119361.74</v>
      </c>
    </row>
    <row r="81" spans="1:3" x14ac:dyDescent="0.25">
      <c r="A81" s="1">
        <v>46174</v>
      </c>
      <c r="B81" t="s">
        <v>23</v>
      </c>
      <c r="C81" s="2">
        <v>24908.35</v>
      </c>
    </row>
    <row r="82" spans="1:3" x14ac:dyDescent="0.25">
      <c r="A82" s="1">
        <v>46204</v>
      </c>
      <c r="B82" t="s">
        <v>19</v>
      </c>
      <c r="C82" s="2">
        <v>8812.4500000000007</v>
      </c>
    </row>
    <row r="83" spans="1:3" x14ac:dyDescent="0.25">
      <c r="A83" s="1">
        <v>46204</v>
      </c>
      <c r="B83" t="s">
        <v>20</v>
      </c>
      <c r="C83" s="2">
        <v>285517.09999999998</v>
      </c>
    </row>
    <row r="84" spans="1:3" x14ac:dyDescent="0.25">
      <c r="A84" s="1">
        <v>46204</v>
      </c>
      <c r="B84" t="s">
        <v>21</v>
      </c>
      <c r="C84" s="2">
        <v>11573.73</v>
      </c>
    </row>
    <row r="85" spans="1:3" x14ac:dyDescent="0.25">
      <c r="A85" s="1">
        <v>46204</v>
      </c>
      <c r="B85" t="s">
        <v>22</v>
      </c>
      <c r="C85" s="2">
        <v>101382.89</v>
      </c>
    </row>
    <row r="86" spans="1:3" x14ac:dyDescent="0.25">
      <c r="A86" s="1">
        <v>46204</v>
      </c>
      <c r="B86" t="s">
        <v>23</v>
      </c>
      <c r="C86" s="2">
        <v>27474.61</v>
      </c>
    </row>
    <row r="87" spans="1:3" x14ac:dyDescent="0.25">
      <c r="A87" s="1">
        <v>46235</v>
      </c>
      <c r="B87" t="s">
        <v>19</v>
      </c>
      <c r="C87" s="2">
        <v>119339.06</v>
      </c>
    </row>
    <row r="88" spans="1:3" x14ac:dyDescent="0.25">
      <c r="A88" s="1">
        <v>46235</v>
      </c>
      <c r="B88" t="s">
        <v>20</v>
      </c>
      <c r="C88" s="2">
        <v>138768.85</v>
      </c>
    </row>
    <row r="89" spans="1:3" x14ac:dyDescent="0.25">
      <c r="A89" s="1">
        <v>46235</v>
      </c>
      <c r="B89" t="s">
        <v>21</v>
      </c>
      <c r="C89" s="2">
        <v>34741.47</v>
      </c>
    </row>
    <row r="90" spans="1:3" x14ac:dyDescent="0.25">
      <c r="A90" s="1">
        <v>46235</v>
      </c>
      <c r="B90" t="s">
        <v>22</v>
      </c>
      <c r="C90" s="2">
        <v>102492.01</v>
      </c>
    </row>
    <row r="91" spans="1:3" x14ac:dyDescent="0.25">
      <c r="A91" s="1">
        <v>46235</v>
      </c>
      <c r="B91" t="s">
        <v>23</v>
      </c>
      <c r="C91" s="2">
        <v>27714.82</v>
      </c>
    </row>
    <row r="92" spans="1:3" x14ac:dyDescent="0.25">
      <c r="A92" s="1">
        <v>46266</v>
      </c>
      <c r="B92" t="s">
        <v>19</v>
      </c>
      <c r="C92" s="2">
        <v>19376.060000000001</v>
      </c>
    </row>
    <row r="93" spans="1:3" x14ac:dyDescent="0.25">
      <c r="A93" s="1">
        <v>46266</v>
      </c>
      <c r="B93" t="s">
        <v>20</v>
      </c>
      <c r="C93" s="2">
        <v>153775.44</v>
      </c>
    </row>
    <row r="94" spans="1:3" x14ac:dyDescent="0.25">
      <c r="A94" s="1">
        <v>46266</v>
      </c>
      <c r="B94" t="s">
        <v>21</v>
      </c>
      <c r="C94" s="2">
        <v>747.06</v>
      </c>
    </row>
    <row r="95" spans="1:3" x14ac:dyDescent="0.25">
      <c r="A95" s="1">
        <v>46266</v>
      </c>
      <c r="B95" t="s">
        <v>22</v>
      </c>
      <c r="C95" s="2">
        <v>163845.73000000001</v>
      </c>
    </row>
    <row r="96" spans="1:3" x14ac:dyDescent="0.25">
      <c r="A96" s="1">
        <v>46266</v>
      </c>
      <c r="B96" t="s">
        <v>23</v>
      </c>
      <c r="C96" s="2">
        <v>27954.58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1BF0-0B3C-450F-98E3-02BBA56597B7}">
  <dimension ref="A1:D998"/>
  <sheetViews>
    <sheetView showGridLines="0" topLeftCell="A967" workbookViewId="0">
      <selection activeCell="I983" sqref="I983"/>
    </sheetView>
  </sheetViews>
  <sheetFormatPr defaultRowHeight="15" x14ac:dyDescent="0.25"/>
  <cols>
    <col min="1" max="1" width="15.85546875" customWidth="1"/>
    <col min="2" max="2" width="19.28515625" customWidth="1"/>
    <col min="3" max="3" width="53.42578125" customWidth="1"/>
    <col min="4" max="4" width="13.85546875" customWidth="1"/>
  </cols>
  <sheetData>
    <row r="1" spans="1:4" x14ac:dyDescent="0.25">
      <c r="A1" t="s">
        <v>114</v>
      </c>
      <c r="B1" t="s">
        <v>112</v>
      </c>
      <c r="C1" t="s">
        <v>113</v>
      </c>
      <c r="D1" t="s">
        <v>84</v>
      </c>
    </row>
    <row r="2" spans="1:4" x14ac:dyDescent="0.25">
      <c r="A2" s="43">
        <v>45689</v>
      </c>
      <c r="B2" t="s">
        <v>115</v>
      </c>
      <c r="C2" t="s">
        <v>80</v>
      </c>
      <c r="D2" s="2">
        <v>0</v>
      </c>
    </row>
    <row r="3" spans="1:4" x14ac:dyDescent="0.25">
      <c r="A3" s="43">
        <v>45717</v>
      </c>
      <c r="B3" t="s">
        <v>115</v>
      </c>
      <c r="C3" t="s">
        <v>80</v>
      </c>
      <c r="D3" s="2">
        <v>22454.62</v>
      </c>
    </row>
    <row r="4" spans="1:4" x14ac:dyDescent="0.25">
      <c r="A4" s="43">
        <v>45748</v>
      </c>
      <c r="B4" t="s">
        <v>115</v>
      </c>
      <c r="C4" t="s">
        <v>80</v>
      </c>
      <c r="D4" s="2">
        <v>13246.01</v>
      </c>
    </row>
    <row r="5" spans="1:4" x14ac:dyDescent="0.25">
      <c r="A5" s="43">
        <v>45778</v>
      </c>
      <c r="B5" t="s">
        <v>115</v>
      </c>
      <c r="C5" t="s">
        <v>80</v>
      </c>
      <c r="D5" s="2">
        <v>2816.08</v>
      </c>
    </row>
    <row r="6" spans="1:4" x14ac:dyDescent="0.25">
      <c r="A6" s="43">
        <v>45809</v>
      </c>
      <c r="B6" t="s">
        <v>115</v>
      </c>
      <c r="C6" t="s">
        <v>80</v>
      </c>
      <c r="D6" s="2">
        <v>2930.08</v>
      </c>
    </row>
    <row r="7" spans="1:4" x14ac:dyDescent="0.25">
      <c r="A7" s="43">
        <v>45839</v>
      </c>
      <c r="B7" t="s">
        <v>115</v>
      </c>
      <c r="C7" t="s">
        <v>80</v>
      </c>
      <c r="D7" s="2">
        <v>1309.08</v>
      </c>
    </row>
    <row r="8" spans="1:4" x14ac:dyDescent="0.25">
      <c r="A8" s="43">
        <v>45870</v>
      </c>
      <c r="B8" t="s">
        <v>115</v>
      </c>
      <c r="C8" t="s">
        <v>80</v>
      </c>
      <c r="D8" s="2">
        <v>930.08</v>
      </c>
    </row>
    <row r="9" spans="1:4" x14ac:dyDescent="0.25">
      <c r="A9" s="43">
        <v>45901</v>
      </c>
      <c r="B9" t="s">
        <v>115</v>
      </c>
      <c r="C9" t="s">
        <v>80</v>
      </c>
      <c r="D9" s="2">
        <v>87897.19</v>
      </c>
    </row>
    <row r="10" spans="1:4" x14ac:dyDescent="0.25">
      <c r="A10" s="43">
        <v>45931</v>
      </c>
      <c r="B10" t="s">
        <v>115</v>
      </c>
      <c r="C10" t="s">
        <v>80</v>
      </c>
      <c r="D10" s="2">
        <v>175.54</v>
      </c>
    </row>
    <row r="11" spans="1:4" x14ac:dyDescent="0.25">
      <c r="A11" s="43">
        <v>45962</v>
      </c>
      <c r="B11" t="s">
        <v>115</v>
      </c>
      <c r="C11" t="s">
        <v>80</v>
      </c>
      <c r="D11" s="2">
        <v>175.54</v>
      </c>
    </row>
    <row r="12" spans="1:4" x14ac:dyDescent="0.25">
      <c r="A12" s="43">
        <v>45992</v>
      </c>
      <c r="B12" t="s">
        <v>115</v>
      </c>
      <c r="C12" t="s">
        <v>80</v>
      </c>
      <c r="D12" s="2">
        <v>127.68</v>
      </c>
    </row>
    <row r="13" spans="1:4" x14ac:dyDescent="0.25">
      <c r="A13" s="43">
        <v>45689</v>
      </c>
      <c r="B13" t="s">
        <v>115</v>
      </c>
      <c r="C13" t="s">
        <v>47</v>
      </c>
      <c r="D13" s="2">
        <v>0</v>
      </c>
    </row>
    <row r="14" spans="1:4" x14ac:dyDescent="0.25">
      <c r="A14" s="43">
        <v>45717</v>
      </c>
      <c r="B14" t="s">
        <v>115</v>
      </c>
      <c r="C14" t="s">
        <v>47</v>
      </c>
      <c r="D14" s="2">
        <v>592</v>
      </c>
    </row>
    <row r="15" spans="1:4" x14ac:dyDescent="0.25">
      <c r="A15" s="43">
        <v>45748</v>
      </c>
      <c r="B15" t="s">
        <v>115</v>
      </c>
      <c r="C15" t="s">
        <v>47</v>
      </c>
      <c r="D15" s="2">
        <v>9009.07</v>
      </c>
    </row>
    <row r="16" spans="1:4" x14ac:dyDescent="0.25">
      <c r="A16" s="43">
        <v>45778</v>
      </c>
      <c r="B16" t="s">
        <v>115</v>
      </c>
      <c r="C16" t="s">
        <v>47</v>
      </c>
      <c r="D16" s="2">
        <v>1284.23</v>
      </c>
    </row>
    <row r="17" spans="1:4" x14ac:dyDescent="0.25">
      <c r="A17" s="43">
        <v>45809</v>
      </c>
      <c r="B17" t="s">
        <v>115</v>
      </c>
      <c r="C17" t="s">
        <v>47</v>
      </c>
      <c r="D17" s="2">
        <v>8865.66</v>
      </c>
    </row>
    <row r="18" spans="1:4" x14ac:dyDescent="0.25">
      <c r="A18" s="43">
        <v>45839</v>
      </c>
      <c r="B18" t="s">
        <v>115</v>
      </c>
      <c r="C18" t="s">
        <v>47</v>
      </c>
      <c r="D18" s="2">
        <v>745.29</v>
      </c>
    </row>
    <row r="19" spans="1:4" x14ac:dyDescent="0.25">
      <c r="A19" s="43">
        <v>45870</v>
      </c>
      <c r="B19" t="s">
        <v>115</v>
      </c>
      <c r="C19" t="s">
        <v>47</v>
      </c>
      <c r="D19" s="2">
        <v>54</v>
      </c>
    </row>
    <row r="20" spans="1:4" x14ac:dyDescent="0.25">
      <c r="A20" s="43">
        <v>45901</v>
      </c>
      <c r="B20" t="s">
        <v>115</v>
      </c>
      <c r="C20" t="s">
        <v>47</v>
      </c>
      <c r="D20" s="2">
        <v>1293</v>
      </c>
    </row>
    <row r="21" spans="1:4" x14ac:dyDescent="0.25">
      <c r="A21" s="43">
        <v>45931</v>
      </c>
      <c r="B21" t="s">
        <v>115</v>
      </c>
      <c r="C21" t="s">
        <v>47</v>
      </c>
      <c r="D21" s="2">
        <v>2699.52</v>
      </c>
    </row>
    <row r="22" spans="1:4" x14ac:dyDescent="0.25">
      <c r="A22" s="43">
        <v>45962</v>
      </c>
      <c r="B22" t="s">
        <v>115</v>
      </c>
      <c r="C22" t="s">
        <v>47</v>
      </c>
      <c r="D22" s="2">
        <v>2069.8200000000002</v>
      </c>
    </row>
    <row r="23" spans="1:4" x14ac:dyDescent="0.25">
      <c r="A23" s="43">
        <v>45992</v>
      </c>
      <c r="B23" t="s">
        <v>115</v>
      </c>
      <c r="C23" t="s">
        <v>47</v>
      </c>
      <c r="D23" s="2">
        <v>1604.5</v>
      </c>
    </row>
    <row r="24" spans="1:4" x14ac:dyDescent="0.25">
      <c r="A24" s="43">
        <v>45689</v>
      </c>
      <c r="B24" t="s">
        <v>115</v>
      </c>
      <c r="C24" t="s">
        <v>79</v>
      </c>
      <c r="D24" s="2">
        <v>0</v>
      </c>
    </row>
    <row r="25" spans="1:4" x14ac:dyDescent="0.25">
      <c r="A25" s="43">
        <v>45717</v>
      </c>
      <c r="B25" t="s">
        <v>115</v>
      </c>
      <c r="C25" t="s">
        <v>79</v>
      </c>
      <c r="D25" s="2">
        <v>0</v>
      </c>
    </row>
    <row r="26" spans="1:4" x14ac:dyDescent="0.25">
      <c r="A26" s="43">
        <v>45748</v>
      </c>
      <c r="B26" t="s">
        <v>115</v>
      </c>
      <c r="C26" t="s">
        <v>79</v>
      </c>
      <c r="D26" s="2">
        <v>0</v>
      </c>
    </row>
    <row r="27" spans="1:4" x14ac:dyDescent="0.25">
      <c r="A27" s="43">
        <v>45778</v>
      </c>
      <c r="B27" t="s">
        <v>115</v>
      </c>
      <c r="C27" t="s">
        <v>79</v>
      </c>
      <c r="D27" s="2">
        <v>0</v>
      </c>
    </row>
    <row r="28" spans="1:4" x14ac:dyDescent="0.25">
      <c r="A28" s="43">
        <v>45809</v>
      </c>
      <c r="B28" t="s">
        <v>115</v>
      </c>
      <c r="C28" t="s">
        <v>79</v>
      </c>
      <c r="D28" s="2">
        <v>0</v>
      </c>
    </row>
    <row r="29" spans="1:4" x14ac:dyDescent="0.25">
      <c r="A29" s="43">
        <v>45839</v>
      </c>
      <c r="B29" t="s">
        <v>115</v>
      </c>
      <c r="C29" t="s">
        <v>79</v>
      </c>
      <c r="D29" s="2">
        <v>0</v>
      </c>
    </row>
    <row r="30" spans="1:4" x14ac:dyDescent="0.25">
      <c r="A30" s="43">
        <v>45870</v>
      </c>
      <c r="B30" t="s">
        <v>115</v>
      </c>
      <c r="C30" t="s">
        <v>79</v>
      </c>
      <c r="D30" s="2">
        <v>0</v>
      </c>
    </row>
    <row r="31" spans="1:4" x14ac:dyDescent="0.25">
      <c r="A31" s="43">
        <v>45901</v>
      </c>
      <c r="B31" t="s">
        <v>115</v>
      </c>
      <c r="C31" t="s">
        <v>79</v>
      </c>
      <c r="D31" s="2">
        <v>25000</v>
      </c>
    </row>
    <row r="32" spans="1:4" x14ac:dyDescent="0.25">
      <c r="A32" s="43">
        <v>45931</v>
      </c>
      <c r="B32" t="s">
        <v>115</v>
      </c>
      <c r="C32" t="s">
        <v>79</v>
      </c>
      <c r="D32" s="2">
        <v>0</v>
      </c>
    </row>
    <row r="33" spans="1:4" x14ac:dyDescent="0.25">
      <c r="A33" s="43">
        <v>45962</v>
      </c>
      <c r="B33" t="s">
        <v>115</v>
      </c>
      <c r="C33" t="s">
        <v>79</v>
      </c>
      <c r="D33" s="2">
        <v>0</v>
      </c>
    </row>
    <row r="34" spans="1:4" x14ac:dyDescent="0.25">
      <c r="A34" s="43">
        <v>45992</v>
      </c>
      <c r="B34" t="s">
        <v>115</v>
      </c>
      <c r="C34" t="s">
        <v>79</v>
      </c>
      <c r="D34" s="2">
        <v>0</v>
      </c>
    </row>
    <row r="35" spans="1:4" x14ac:dyDescent="0.25">
      <c r="A35" s="43">
        <v>45689</v>
      </c>
      <c r="B35" t="s">
        <v>115</v>
      </c>
      <c r="C35" t="s">
        <v>56</v>
      </c>
      <c r="D35" s="2">
        <v>0</v>
      </c>
    </row>
    <row r="36" spans="1:4" x14ac:dyDescent="0.25">
      <c r="A36" s="43">
        <v>45717</v>
      </c>
      <c r="B36" t="s">
        <v>115</v>
      </c>
      <c r="C36" t="s">
        <v>56</v>
      </c>
      <c r="D36" s="2">
        <v>0</v>
      </c>
    </row>
    <row r="37" spans="1:4" x14ac:dyDescent="0.25">
      <c r="A37" s="43">
        <v>45748</v>
      </c>
      <c r="B37" t="s">
        <v>115</v>
      </c>
      <c r="C37" t="s">
        <v>56</v>
      </c>
      <c r="D37" s="2">
        <v>0</v>
      </c>
    </row>
    <row r="38" spans="1:4" x14ac:dyDescent="0.25">
      <c r="A38" s="43">
        <v>45778</v>
      </c>
      <c r="B38" t="s">
        <v>115</v>
      </c>
      <c r="C38" t="s">
        <v>56</v>
      </c>
      <c r="D38" s="2">
        <v>0</v>
      </c>
    </row>
    <row r="39" spans="1:4" x14ac:dyDescent="0.25">
      <c r="A39" s="43">
        <v>45809</v>
      </c>
      <c r="B39" t="s">
        <v>115</v>
      </c>
      <c r="C39" t="s">
        <v>56</v>
      </c>
      <c r="D39" s="2">
        <v>0</v>
      </c>
    </row>
    <row r="40" spans="1:4" x14ac:dyDescent="0.25">
      <c r="A40" s="43">
        <v>45839</v>
      </c>
      <c r="B40" t="s">
        <v>115</v>
      </c>
      <c r="C40" t="s">
        <v>56</v>
      </c>
      <c r="D40" s="2">
        <v>16424.09</v>
      </c>
    </row>
    <row r="41" spans="1:4" x14ac:dyDescent="0.25">
      <c r="A41" s="43">
        <v>45870</v>
      </c>
      <c r="B41" t="s">
        <v>115</v>
      </c>
      <c r="C41" t="s">
        <v>56</v>
      </c>
      <c r="D41" s="2">
        <v>0</v>
      </c>
    </row>
    <row r="42" spans="1:4" x14ac:dyDescent="0.25">
      <c r="A42" s="43">
        <v>45901</v>
      </c>
      <c r="B42" t="s">
        <v>115</v>
      </c>
      <c r="C42" t="s">
        <v>56</v>
      </c>
      <c r="D42" s="2">
        <v>0</v>
      </c>
    </row>
    <row r="43" spans="1:4" x14ac:dyDescent="0.25">
      <c r="A43" s="43">
        <v>45931</v>
      </c>
      <c r="B43" t="s">
        <v>115</v>
      </c>
      <c r="C43" t="s">
        <v>56</v>
      </c>
      <c r="D43" s="2">
        <v>0</v>
      </c>
    </row>
    <row r="44" spans="1:4" x14ac:dyDescent="0.25">
      <c r="A44" s="43">
        <v>45962</v>
      </c>
      <c r="B44" t="s">
        <v>115</v>
      </c>
      <c r="C44" t="s">
        <v>56</v>
      </c>
      <c r="D44" s="2">
        <v>0</v>
      </c>
    </row>
    <row r="45" spans="1:4" x14ac:dyDescent="0.25">
      <c r="A45" s="43">
        <v>45992</v>
      </c>
      <c r="B45" t="s">
        <v>115</v>
      </c>
      <c r="C45" t="s">
        <v>56</v>
      </c>
      <c r="D45" s="2">
        <v>0</v>
      </c>
    </row>
    <row r="46" spans="1:4" x14ac:dyDescent="0.25">
      <c r="A46" s="43">
        <v>45689</v>
      </c>
      <c r="B46" t="s">
        <v>115</v>
      </c>
      <c r="C46" t="s">
        <v>18</v>
      </c>
      <c r="D46" s="2">
        <v>0</v>
      </c>
    </row>
    <row r="47" spans="1:4" x14ac:dyDescent="0.25">
      <c r="A47" s="43">
        <v>45717</v>
      </c>
      <c r="B47" t="s">
        <v>115</v>
      </c>
      <c r="C47" t="s">
        <v>18</v>
      </c>
      <c r="D47" s="2">
        <v>0</v>
      </c>
    </row>
    <row r="48" spans="1:4" x14ac:dyDescent="0.25">
      <c r="A48" s="43">
        <v>45748</v>
      </c>
      <c r="B48" t="s">
        <v>115</v>
      </c>
      <c r="C48" t="s">
        <v>18</v>
      </c>
      <c r="D48" s="2">
        <v>0</v>
      </c>
    </row>
    <row r="49" spans="1:4" x14ac:dyDescent="0.25">
      <c r="A49" s="43">
        <v>45778</v>
      </c>
      <c r="B49" t="s">
        <v>115</v>
      </c>
      <c r="C49" t="s">
        <v>18</v>
      </c>
      <c r="D49" s="2">
        <v>0</v>
      </c>
    </row>
    <row r="50" spans="1:4" x14ac:dyDescent="0.25">
      <c r="A50" s="43">
        <v>45809</v>
      </c>
      <c r="B50" t="s">
        <v>115</v>
      </c>
      <c r="C50" t="s">
        <v>18</v>
      </c>
      <c r="D50" s="2">
        <v>7899.99</v>
      </c>
    </row>
    <row r="51" spans="1:4" x14ac:dyDescent="0.25">
      <c r="A51" s="43">
        <v>45839</v>
      </c>
      <c r="B51" t="s">
        <v>115</v>
      </c>
      <c r="C51" t="s">
        <v>18</v>
      </c>
      <c r="D51" s="2">
        <v>0</v>
      </c>
    </row>
    <row r="52" spans="1:4" x14ac:dyDescent="0.25">
      <c r="A52" s="43">
        <v>45870</v>
      </c>
      <c r="B52" t="s">
        <v>115</v>
      </c>
      <c r="C52" t="s">
        <v>18</v>
      </c>
      <c r="D52" s="2">
        <v>0</v>
      </c>
    </row>
    <row r="53" spans="1:4" x14ac:dyDescent="0.25">
      <c r="A53" s="43">
        <v>45901</v>
      </c>
      <c r="B53" t="s">
        <v>115</v>
      </c>
      <c r="C53" t="s">
        <v>18</v>
      </c>
      <c r="D53" s="2">
        <v>2711.6</v>
      </c>
    </row>
    <row r="54" spans="1:4" x14ac:dyDescent="0.25">
      <c r="A54" s="43">
        <v>45931</v>
      </c>
      <c r="B54" t="s">
        <v>115</v>
      </c>
      <c r="C54" t="s">
        <v>18</v>
      </c>
      <c r="D54" s="2">
        <v>0</v>
      </c>
    </row>
    <row r="55" spans="1:4" x14ac:dyDescent="0.25">
      <c r="A55" s="43">
        <v>45962</v>
      </c>
      <c r="B55" t="s">
        <v>115</v>
      </c>
      <c r="C55" t="s">
        <v>18</v>
      </c>
      <c r="D55" s="2">
        <v>2185</v>
      </c>
    </row>
    <row r="56" spans="1:4" x14ac:dyDescent="0.25">
      <c r="A56" s="43">
        <v>45992</v>
      </c>
      <c r="B56" t="s">
        <v>115</v>
      </c>
      <c r="C56" t="s">
        <v>18</v>
      </c>
      <c r="D56" s="2">
        <v>2185</v>
      </c>
    </row>
    <row r="57" spans="1:4" x14ac:dyDescent="0.25">
      <c r="A57" s="43">
        <v>45689</v>
      </c>
      <c r="B57" t="s">
        <v>115</v>
      </c>
      <c r="C57" t="s">
        <v>58</v>
      </c>
      <c r="D57" s="2">
        <v>0</v>
      </c>
    </row>
    <row r="58" spans="1:4" x14ac:dyDescent="0.25">
      <c r="A58" s="43">
        <v>45717</v>
      </c>
      <c r="B58" t="s">
        <v>115</v>
      </c>
      <c r="C58" t="s">
        <v>58</v>
      </c>
      <c r="D58" s="2">
        <v>0</v>
      </c>
    </row>
    <row r="59" spans="1:4" x14ac:dyDescent="0.25">
      <c r="A59" s="43">
        <v>45748</v>
      </c>
      <c r="B59" t="s">
        <v>115</v>
      </c>
      <c r="C59" t="s">
        <v>58</v>
      </c>
      <c r="D59" s="2">
        <v>0</v>
      </c>
    </row>
    <row r="60" spans="1:4" x14ac:dyDescent="0.25">
      <c r="A60" s="43">
        <v>45778</v>
      </c>
      <c r="B60" t="s">
        <v>115</v>
      </c>
      <c r="C60" t="s">
        <v>58</v>
      </c>
      <c r="D60" s="2">
        <v>0</v>
      </c>
    </row>
    <row r="61" spans="1:4" x14ac:dyDescent="0.25">
      <c r="A61" s="43">
        <v>45809</v>
      </c>
      <c r="B61" t="s">
        <v>115</v>
      </c>
      <c r="C61" t="s">
        <v>58</v>
      </c>
      <c r="D61" s="2">
        <v>1351.02</v>
      </c>
    </row>
    <row r="62" spans="1:4" x14ac:dyDescent="0.25">
      <c r="A62" s="43">
        <v>45839</v>
      </c>
      <c r="B62" t="s">
        <v>115</v>
      </c>
      <c r="C62" t="s">
        <v>58</v>
      </c>
      <c r="D62" s="2">
        <v>1351.02</v>
      </c>
    </row>
    <row r="63" spans="1:4" x14ac:dyDescent="0.25">
      <c r="A63" s="43">
        <v>45870</v>
      </c>
      <c r="B63" t="s">
        <v>115</v>
      </c>
      <c r="C63" t="s">
        <v>58</v>
      </c>
      <c r="D63" s="2">
        <v>1351.02</v>
      </c>
    </row>
    <row r="64" spans="1:4" x14ac:dyDescent="0.25">
      <c r="A64" s="43">
        <v>45901</v>
      </c>
      <c r="B64" t="s">
        <v>115</v>
      </c>
      <c r="C64" t="s">
        <v>58</v>
      </c>
      <c r="D64" s="2">
        <v>1351.02</v>
      </c>
    </row>
    <row r="65" spans="1:4" x14ac:dyDescent="0.25">
      <c r="A65" s="43">
        <v>45931</v>
      </c>
      <c r="B65" t="s">
        <v>115</v>
      </c>
      <c r="C65" t="s">
        <v>58</v>
      </c>
      <c r="D65" s="2">
        <v>1351.02</v>
      </c>
    </row>
    <row r="66" spans="1:4" x14ac:dyDescent="0.25">
      <c r="A66" s="43">
        <v>45962</v>
      </c>
      <c r="B66" t="s">
        <v>115</v>
      </c>
      <c r="C66" t="s">
        <v>58</v>
      </c>
      <c r="D66" s="2">
        <v>1351.02</v>
      </c>
    </row>
    <row r="67" spans="1:4" x14ac:dyDescent="0.25">
      <c r="A67" s="43">
        <v>45992</v>
      </c>
      <c r="B67" t="s">
        <v>115</v>
      </c>
      <c r="C67" t="s">
        <v>58</v>
      </c>
      <c r="D67" s="2">
        <v>1351.02</v>
      </c>
    </row>
    <row r="68" spans="1:4" x14ac:dyDescent="0.25">
      <c r="A68" s="43">
        <v>45689</v>
      </c>
      <c r="B68" t="s">
        <v>115</v>
      </c>
      <c r="C68" t="s">
        <v>46</v>
      </c>
      <c r="D68" s="2">
        <v>0</v>
      </c>
    </row>
    <row r="69" spans="1:4" x14ac:dyDescent="0.25">
      <c r="A69" s="43">
        <v>45717</v>
      </c>
      <c r="B69" t="s">
        <v>115</v>
      </c>
      <c r="C69" t="s">
        <v>46</v>
      </c>
      <c r="D69" s="2">
        <v>0</v>
      </c>
    </row>
    <row r="70" spans="1:4" x14ac:dyDescent="0.25">
      <c r="A70" s="43">
        <v>45748</v>
      </c>
      <c r="B70" t="s">
        <v>115</v>
      </c>
      <c r="C70" t="s">
        <v>46</v>
      </c>
      <c r="D70" s="2">
        <v>0</v>
      </c>
    </row>
    <row r="71" spans="1:4" x14ac:dyDescent="0.25">
      <c r="A71" s="43">
        <v>45778</v>
      </c>
      <c r="B71" t="s">
        <v>115</v>
      </c>
      <c r="C71" t="s">
        <v>46</v>
      </c>
      <c r="D71" s="2">
        <v>381</v>
      </c>
    </row>
    <row r="72" spans="1:4" x14ac:dyDescent="0.25">
      <c r="A72" s="43">
        <v>45809</v>
      </c>
      <c r="B72" t="s">
        <v>115</v>
      </c>
      <c r="C72" t="s">
        <v>46</v>
      </c>
      <c r="D72" s="2">
        <v>2298.13</v>
      </c>
    </row>
    <row r="73" spans="1:4" x14ac:dyDescent="0.25">
      <c r="A73" s="43">
        <v>45839</v>
      </c>
      <c r="B73" t="s">
        <v>115</v>
      </c>
      <c r="C73" t="s">
        <v>46</v>
      </c>
      <c r="D73" s="2">
        <v>0</v>
      </c>
    </row>
    <row r="74" spans="1:4" x14ac:dyDescent="0.25">
      <c r="A74" s="43">
        <v>45870</v>
      </c>
      <c r="B74" t="s">
        <v>115</v>
      </c>
      <c r="C74" t="s">
        <v>46</v>
      </c>
      <c r="D74" s="2">
        <v>0</v>
      </c>
    </row>
    <row r="75" spans="1:4" x14ac:dyDescent="0.25">
      <c r="A75" s="43">
        <v>45901</v>
      </c>
      <c r="B75" t="s">
        <v>115</v>
      </c>
      <c r="C75" t="s">
        <v>46</v>
      </c>
      <c r="D75" s="2">
        <v>0</v>
      </c>
    </row>
    <row r="76" spans="1:4" x14ac:dyDescent="0.25">
      <c r="A76" s="43">
        <v>45931</v>
      </c>
      <c r="B76" t="s">
        <v>115</v>
      </c>
      <c r="C76" t="s">
        <v>46</v>
      </c>
      <c r="D76" s="2">
        <v>2022.14</v>
      </c>
    </row>
    <row r="77" spans="1:4" x14ac:dyDescent="0.25">
      <c r="A77" s="43">
        <v>45962</v>
      </c>
      <c r="B77" t="s">
        <v>115</v>
      </c>
      <c r="C77" t="s">
        <v>46</v>
      </c>
      <c r="D77" s="2">
        <v>0</v>
      </c>
    </row>
    <row r="78" spans="1:4" x14ac:dyDescent="0.25">
      <c r="A78" s="43">
        <v>45992</v>
      </c>
      <c r="B78" t="s">
        <v>115</v>
      </c>
      <c r="C78" t="s">
        <v>46</v>
      </c>
      <c r="D78" s="2">
        <v>0</v>
      </c>
    </row>
    <row r="79" spans="1:4" x14ac:dyDescent="0.25">
      <c r="A79" s="43">
        <v>45689</v>
      </c>
      <c r="B79" t="s">
        <v>115</v>
      </c>
      <c r="C79" t="s">
        <v>78</v>
      </c>
      <c r="D79" s="2">
        <v>0</v>
      </c>
    </row>
    <row r="80" spans="1:4" x14ac:dyDescent="0.25">
      <c r="A80" s="43">
        <v>45717</v>
      </c>
      <c r="B80" t="s">
        <v>115</v>
      </c>
      <c r="C80" t="s">
        <v>78</v>
      </c>
      <c r="D80" s="2">
        <v>0</v>
      </c>
    </row>
    <row r="81" spans="1:4" x14ac:dyDescent="0.25">
      <c r="A81" s="43">
        <v>45748</v>
      </c>
      <c r="B81" t="s">
        <v>115</v>
      </c>
      <c r="C81" t="s">
        <v>78</v>
      </c>
      <c r="D81" s="2">
        <v>0</v>
      </c>
    </row>
    <row r="82" spans="1:4" x14ac:dyDescent="0.25">
      <c r="A82" s="43">
        <v>45778</v>
      </c>
      <c r="B82" t="s">
        <v>115</v>
      </c>
      <c r="C82" t="s">
        <v>78</v>
      </c>
      <c r="D82" s="2">
        <v>0</v>
      </c>
    </row>
    <row r="83" spans="1:4" x14ac:dyDescent="0.25">
      <c r="A83" s="43">
        <v>45809</v>
      </c>
      <c r="B83" t="s">
        <v>115</v>
      </c>
      <c r="C83" t="s">
        <v>78</v>
      </c>
      <c r="D83" s="2">
        <v>0</v>
      </c>
    </row>
    <row r="84" spans="1:4" x14ac:dyDescent="0.25">
      <c r="A84" s="43">
        <v>45839</v>
      </c>
      <c r="B84" t="s">
        <v>115</v>
      </c>
      <c r="C84" t="s">
        <v>78</v>
      </c>
      <c r="D84" s="2">
        <v>0</v>
      </c>
    </row>
    <row r="85" spans="1:4" x14ac:dyDescent="0.25">
      <c r="A85" s="43">
        <v>45870</v>
      </c>
      <c r="B85" t="s">
        <v>115</v>
      </c>
      <c r="C85" t="s">
        <v>78</v>
      </c>
      <c r="D85" s="2">
        <v>0</v>
      </c>
    </row>
    <row r="86" spans="1:4" x14ac:dyDescent="0.25">
      <c r="A86" s="43">
        <v>45901</v>
      </c>
      <c r="B86" t="s">
        <v>115</v>
      </c>
      <c r="C86" t="s">
        <v>78</v>
      </c>
      <c r="D86" s="2">
        <v>2547.4499999999998</v>
      </c>
    </row>
    <row r="87" spans="1:4" x14ac:dyDescent="0.25">
      <c r="A87" s="43">
        <v>45931</v>
      </c>
      <c r="B87" t="s">
        <v>115</v>
      </c>
      <c r="C87" t="s">
        <v>78</v>
      </c>
      <c r="D87" s="2">
        <v>0</v>
      </c>
    </row>
    <row r="88" spans="1:4" x14ac:dyDescent="0.25">
      <c r="A88" s="43">
        <v>45962</v>
      </c>
      <c r="B88" t="s">
        <v>115</v>
      </c>
      <c r="C88" t="s">
        <v>78</v>
      </c>
      <c r="D88" s="2">
        <v>0</v>
      </c>
    </row>
    <row r="89" spans="1:4" x14ac:dyDescent="0.25">
      <c r="A89" s="43">
        <v>45992</v>
      </c>
      <c r="B89" t="s">
        <v>115</v>
      </c>
      <c r="C89" t="s">
        <v>78</v>
      </c>
      <c r="D89" s="2">
        <v>0</v>
      </c>
    </row>
    <row r="90" spans="1:4" x14ac:dyDescent="0.25">
      <c r="A90" s="43">
        <v>45689</v>
      </c>
      <c r="B90" t="s">
        <v>115</v>
      </c>
      <c r="C90" t="s">
        <v>55</v>
      </c>
      <c r="D90" s="2">
        <v>0</v>
      </c>
    </row>
    <row r="91" spans="1:4" x14ac:dyDescent="0.25">
      <c r="A91" s="43">
        <v>45717</v>
      </c>
      <c r="B91" t="s">
        <v>115</v>
      </c>
      <c r="C91" t="s">
        <v>55</v>
      </c>
      <c r="D91" s="2">
        <v>0</v>
      </c>
    </row>
    <row r="92" spans="1:4" x14ac:dyDescent="0.25">
      <c r="A92" s="43">
        <v>45748</v>
      </c>
      <c r="B92" t="s">
        <v>115</v>
      </c>
      <c r="C92" t="s">
        <v>55</v>
      </c>
      <c r="D92" s="2">
        <v>0</v>
      </c>
    </row>
    <row r="93" spans="1:4" x14ac:dyDescent="0.25">
      <c r="A93" s="43">
        <v>45778</v>
      </c>
      <c r="B93" t="s">
        <v>115</v>
      </c>
      <c r="C93" t="s">
        <v>55</v>
      </c>
      <c r="D93" s="2">
        <v>0</v>
      </c>
    </row>
    <row r="94" spans="1:4" x14ac:dyDescent="0.25">
      <c r="A94" s="43">
        <v>45809</v>
      </c>
      <c r="B94" t="s">
        <v>115</v>
      </c>
      <c r="C94" t="s">
        <v>55</v>
      </c>
      <c r="D94" s="2">
        <v>0</v>
      </c>
    </row>
    <row r="95" spans="1:4" x14ac:dyDescent="0.25">
      <c r="A95" s="43">
        <v>45839</v>
      </c>
      <c r="B95" t="s">
        <v>115</v>
      </c>
      <c r="C95" t="s">
        <v>55</v>
      </c>
      <c r="D95" s="2">
        <v>0</v>
      </c>
    </row>
    <row r="96" spans="1:4" x14ac:dyDescent="0.25">
      <c r="A96" s="43">
        <v>45870</v>
      </c>
      <c r="B96" t="s">
        <v>115</v>
      </c>
      <c r="C96" t="s">
        <v>55</v>
      </c>
      <c r="D96" s="2">
        <v>0</v>
      </c>
    </row>
    <row r="97" spans="1:4" x14ac:dyDescent="0.25">
      <c r="A97" s="43">
        <v>45901</v>
      </c>
      <c r="B97" t="s">
        <v>115</v>
      </c>
      <c r="C97" t="s">
        <v>55</v>
      </c>
      <c r="D97" s="2">
        <v>0</v>
      </c>
    </row>
    <row r="98" spans="1:4" x14ac:dyDescent="0.25">
      <c r="A98" s="43">
        <v>45931</v>
      </c>
      <c r="B98" t="s">
        <v>115</v>
      </c>
      <c r="C98" t="s">
        <v>55</v>
      </c>
      <c r="D98" s="2">
        <v>0</v>
      </c>
    </row>
    <row r="99" spans="1:4" x14ac:dyDescent="0.25">
      <c r="A99" s="43">
        <v>45962</v>
      </c>
      <c r="B99" t="s">
        <v>115</v>
      </c>
      <c r="C99" t="s">
        <v>55</v>
      </c>
      <c r="D99" s="2">
        <v>2500</v>
      </c>
    </row>
    <row r="100" spans="1:4" x14ac:dyDescent="0.25">
      <c r="A100" s="43">
        <v>45992</v>
      </c>
      <c r="B100" t="s">
        <v>115</v>
      </c>
      <c r="C100" t="s">
        <v>55</v>
      </c>
      <c r="D100" s="2">
        <v>0</v>
      </c>
    </row>
    <row r="101" spans="1:4" x14ac:dyDescent="0.25">
      <c r="A101" s="43">
        <v>45689</v>
      </c>
      <c r="B101" t="s">
        <v>115</v>
      </c>
      <c r="C101" t="s">
        <v>67</v>
      </c>
      <c r="D101" s="2">
        <v>0</v>
      </c>
    </row>
    <row r="102" spans="1:4" x14ac:dyDescent="0.25">
      <c r="A102" s="43">
        <v>45717</v>
      </c>
      <c r="B102" t="s">
        <v>115</v>
      </c>
      <c r="C102" t="s">
        <v>67</v>
      </c>
      <c r="D102" s="2">
        <v>0</v>
      </c>
    </row>
    <row r="103" spans="1:4" x14ac:dyDescent="0.25">
      <c r="A103" s="43">
        <v>45748</v>
      </c>
      <c r="B103" t="s">
        <v>115</v>
      </c>
      <c r="C103" t="s">
        <v>67</v>
      </c>
      <c r="D103" s="2">
        <v>0</v>
      </c>
    </row>
    <row r="104" spans="1:4" x14ac:dyDescent="0.25">
      <c r="A104" s="43">
        <v>45778</v>
      </c>
      <c r="B104" t="s">
        <v>115</v>
      </c>
      <c r="C104" t="s">
        <v>67</v>
      </c>
      <c r="D104" s="2">
        <v>0</v>
      </c>
    </row>
    <row r="105" spans="1:4" x14ac:dyDescent="0.25">
      <c r="A105" s="43">
        <v>45809</v>
      </c>
      <c r="B105" t="s">
        <v>115</v>
      </c>
      <c r="C105" t="s">
        <v>67</v>
      </c>
      <c r="D105" s="2">
        <v>0</v>
      </c>
    </row>
    <row r="106" spans="1:4" x14ac:dyDescent="0.25">
      <c r="A106" s="43">
        <v>45839</v>
      </c>
      <c r="B106" t="s">
        <v>115</v>
      </c>
      <c r="C106" t="s">
        <v>67</v>
      </c>
      <c r="D106" s="2">
        <v>0</v>
      </c>
    </row>
    <row r="107" spans="1:4" x14ac:dyDescent="0.25">
      <c r="A107" s="43">
        <v>45870</v>
      </c>
      <c r="B107" t="s">
        <v>115</v>
      </c>
      <c r="C107" t="s">
        <v>67</v>
      </c>
      <c r="D107" s="2">
        <v>0</v>
      </c>
    </row>
    <row r="108" spans="1:4" x14ac:dyDescent="0.25">
      <c r="A108" s="43">
        <v>45901</v>
      </c>
      <c r="B108" t="s">
        <v>115</v>
      </c>
      <c r="C108" t="s">
        <v>67</v>
      </c>
      <c r="D108" s="2">
        <v>0</v>
      </c>
    </row>
    <row r="109" spans="1:4" x14ac:dyDescent="0.25">
      <c r="A109" s="43">
        <v>45931</v>
      </c>
      <c r="B109" t="s">
        <v>115</v>
      </c>
      <c r="C109" t="s">
        <v>67</v>
      </c>
      <c r="D109" s="2">
        <v>0</v>
      </c>
    </row>
    <row r="110" spans="1:4" x14ac:dyDescent="0.25">
      <c r="A110" s="43">
        <v>45962</v>
      </c>
      <c r="B110" t="s">
        <v>115</v>
      </c>
      <c r="C110" t="s">
        <v>67</v>
      </c>
      <c r="D110" s="2">
        <v>2280</v>
      </c>
    </row>
    <row r="111" spans="1:4" x14ac:dyDescent="0.25">
      <c r="A111" s="43">
        <v>45992</v>
      </c>
      <c r="B111" t="s">
        <v>115</v>
      </c>
      <c r="C111" t="s">
        <v>67</v>
      </c>
      <c r="D111" s="2">
        <v>0</v>
      </c>
    </row>
    <row r="112" spans="1:4" x14ac:dyDescent="0.25">
      <c r="A112" s="43">
        <v>45689</v>
      </c>
      <c r="B112" t="s">
        <v>115</v>
      </c>
      <c r="C112" t="s">
        <v>43</v>
      </c>
      <c r="D112" s="2">
        <v>0</v>
      </c>
    </row>
    <row r="113" spans="1:4" x14ac:dyDescent="0.25">
      <c r="A113" s="43">
        <v>45717</v>
      </c>
      <c r="B113" t="s">
        <v>115</v>
      </c>
      <c r="C113" t="s">
        <v>43</v>
      </c>
      <c r="D113" s="2">
        <v>0</v>
      </c>
    </row>
    <row r="114" spans="1:4" x14ac:dyDescent="0.25">
      <c r="A114" s="43">
        <v>45748</v>
      </c>
      <c r="B114" t="s">
        <v>115</v>
      </c>
      <c r="C114" t="s">
        <v>43</v>
      </c>
      <c r="D114" s="2">
        <v>0</v>
      </c>
    </row>
    <row r="115" spans="1:4" x14ac:dyDescent="0.25">
      <c r="A115" s="43">
        <v>45778</v>
      </c>
      <c r="B115" t="s">
        <v>115</v>
      </c>
      <c r="C115" t="s">
        <v>43</v>
      </c>
      <c r="D115" s="2">
        <v>0</v>
      </c>
    </row>
    <row r="116" spans="1:4" x14ac:dyDescent="0.25">
      <c r="A116" s="43">
        <v>45809</v>
      </c>
      <c r="B116" t="s">
        <v>115</v>
      </c>
      <c r="C116" t="s">
        <v>43</v>
      </c>
      <c r="D116" s="2">
        <v>0</v>
      </c>
    </row>
    <row r="117" spans="1:4" x14ac:dyDescent="0.25">
      <c r="A117" s="43">
        <v>45839</v>
      </c>
      <c r="B117" t="s">
        <v>115</v>
      </c>
      <c r="C117" t="s">
        <v>43</v>
      </c>
      <c r="D117" s="2">
        <v>0</v>
      </c>
    </row>
    <row r="118" spans="1:4" x14ac:dyDescent="0.25">
      <c r="A118" s="43">
        <v>45870</v>
      </c>
      <c r="B118" t="s">
        <v>115</v>
      </c>
      <c r="C118" t="s">
        <v>43</v>
      </c>
      <c r="D118" s="2">
        <v>0</v>
      </c>
    </row>
    <row r="119" spans="1:4" x14ac:dyDescent="0.25">
      <c r="A119" s="43">
        <v>45901</v>
      </c>
      <c r="B119" t="s">
        <v>115</v>
      </c>
      <c r="C119" t="s">
        <v>43</v>
      </c>
      <c r="D119" s="2">
        <v>2034.33</v>
      </c>
    </row>
    <row r="120" spans="1:4" x14ac:dyDescent="0.25">
      <c r="A120" s="43">
        <v>45931</v>
      </c>
      <c r="B120" t="s">
        <v>115</v>
      </c>
      <c r="C120" t="s">
        <v>43</v>
      </c>
      <c r="D120" s="2">
        <v>0</v>
      </c>
    </row>
    <row r="121" spans="1:4" x14ac:dyDescent="0.25">
      <c r="A121" s="43">
        <v>45962</v>
      </c>
      <c r="B121" t="s">
        <v>115</v>
      </c>
      <c r="C121" t="s">
        <v>43</v>
      </c>
      <c r="D121" s="2">
        <v>0</v>
      </c>
    </row>
    <row r="122" spans="1:4" x14ac:dyDescent="0.25">
      <c r="A122" s="43">
        <v>45992</v>
      </c>
      <c r="B122" t="s">
        <v>115</v>
      </c>
      <c r="C122" t="s">
        <v>43</v>
      </c>
      <c r="D122" s="2">
        <v>0</v>
      </c>
    </row>
    <row r="123" spans="1:4" x14ac:dyDescent="0.25">
      <c r="A123" s="43">
        <v>45689</v>
      </c>
      <c r="B123" t="s">
        <v>115</v>
      </c>
      <c r="C123" t="s">
        <v>42</v>
      </c>
      <c r="D123" s="2">
        <v>0</v>
      </c>
    </row>
    <row r="124" spans="1:4" x14ac:dyDescent="0.25">
      <c r="A124" s="43">
        <v>45717</v>
      </c>
      <c r="B124" t="s">
        <v>115</v>
      </c>
      <c r="C124" t="s">
        <v>42</v>
      </c>
      <c r="D124" s="2">
        <v>0</v>
      </c>
    </row>
    <row r="125" spans="1:4" x14ac:dyDescent="0.25">
      <c r="A125" s="43">
        <v>45748</v>
      </c>
      <c r="B125" t="s">
        <v>115</v>
      </c>
      <c r="C125" t="s">
        <v>42</v>
      </c>
      <c r="D125" s="2">
        <v>0</v>
      </c>
    </row>
    <row r="126" spans="1:4" x14ac:dyDescent="0.25">
      <c r="A126" s="43">
        <v>45778</v>
      </c>
      <c r="B126" t="s">
        <v>115</v>
      </c>
      <c r="C126" t="s">
        <v>42</v>
      </c>
      <c r="D126" s="2">
        <v>0</v>
      </c>
    </row>
    <row r="127" spans="1:4" x14ac:dyDescent="0.25">
      <c r="A127" s="43">
        <v>45809</v>
      </c>
      <c r="B127" t="s">
        <v>115</v>
      </c>
      <c r="C127" t="s">
        <v>42</v>
      </c>
      <c r="D127" s="2">
        <v>0</v>
      </c>
    </row>
    <row r="128" spans="1:4" x14ac:dyDescent="0.25">
      <c r="A128" s="43">
        <v>45839</v>
      </c>
      <c r="B128" t="s">
        <v>115</v>
      </c>
      <c r="C128" t="s">
        <v>42</v>
      </c>
      <c r="D128" s="2">
        <v>0</v>
      </c>
    </row>
    <row r="129" spans="1:4" x14ac:dyDescent="0.25">
      <c r="A129" s="43">
        <v>45870</v>
      </c>
      <c r="B129" t="s">
        <v>115</v>
      </c>
      <c r="C129" t="s">
        <v>42</v>
      </c>
      <c r="D129" s="2">
        <v>0</v>
      </c>
    </row>
    <row r="130" spans="1:4" x14ac:dyDescent="0.25">
      <c r="A130" s="43">
        <v>45901</v>
      </c>
      <c r="B130" t="s">
        <v>115</v>
      </c>
      <c r="C130" t="s">
        <v>42</v>
      </c>
      <c r="D130" s="2">
        <v>0</v>
      </c>
    </row>
    <row r="131" spans="1:4" x14ac:dyDescent="0.25">
      <c r="A131" s="43">
        <v>45931</v>
      </c>
      <c r="B131" t="s">
        <v>115</v>
      </c>
      <c r="C131" t="s">
        <v>42</v>
      </c>
      <c r="D131" s="2">
        <v>1500</v>
      </c>
    </row>
    <row r="132" spans="1:4" x14ac:dyDescent="0.25">
      <c r="A132" s="43">
        <v>45962</v>
      </c>
      <c r="B132" t="s">
        <v>115</v>
      </c>
      <c r="C132" t="s">
        <v>42</v>
      </c>
      <c r="D132" s="2">
        <v>0</v>
      </c>
    </row>
    <row r="133" spans="1:4" x14ac:dyDescent="0.25">
      <c r="A133" s="43">
        <v>45992</v>
      </c>
      <c r="B133" t="s">
        <v>115</v>
      </c>
      <c r="C133" t="s">
        <v>42</v>
      </c>
      <c r="D133" s="2">
        <v>500</v>
      </c>
    </row>
    <row r="134" spans="1:4" x14ac:dyDescent="0.25">
      <c r="A134" s="43">
        <v>45689</v>
      </c>
      <c r="B134" t="s">
        <v>115</v>
      </c>
      <c r="C134" t="s">
        <v>68</v>
      </c>
      <c r="D134" s="2">
        <v>0</v>
      </c>
    </row>
    <row r="135" spans="1:4" x14ac:dyDescent="0.25">
      <c r="A135" s="43">
        <v>45717</v>
      </c>
      <c r="B135" t="s">
        <v>115</v>
      </c>
      <c r="C135" t="s">
        <v>68</v>
      </c>
      <c r="D135" s="2">
        <v>0</v>
      </c>
    </row>
    <row r="136" spans="1:4" x14ac:dyDescent="0.25">
      <c r="A136" s="43">
        <v>45748</v>
      </c>
      <c r="B136" t="s">
        <v>115</v>
      </c>
      <c r="C136" t="s">
        <v>68</v>
      </c>
      <c r="D136" s="2">
        <v>0</v>
      </c>
    </row>
    <row r="137" spans="1:4" x14ac:dyDescent="0.25">
      <c r="A137" s="43">
        <v>45778</v>
      </c>
      <c r="B137" t="s">
        <v>115</v>
      </c>
      <c r="C137" t="s">
        <v>68</v>
      </c>
      <c r="D137" s="2">
        <v>0</v>
      </c>
    </row>
    <row r="138" spans="1:4" x14ac:dyDescent="0.25">
      <c r="A138" s="43">
        <v>45809</v>
      </c>
      <c r="B138" t="s">
        <v>115</v>
      </c>
      <c r="C138" t="s">
        <v>68</v>
      </c>
      <c r="D138" s="2">
        <v>1550</v>
      </c>
    </row>
    <row r="139" spans="1:4" x14ac:dyDescent="0.25">
      <c r="A139" s="43">
        <v>45839</v>
      </c>
      <c r="B139" t="s">
        <v>115</v>
      </c>
      <c r="C139" t="s">
        <v>68</v>
      </c>
      <c r="D139" s="2">
        <v>0</v>
      </c>
    </row>
    <row r="140" spans="1:4" x14ac:dyDescent="0.25">
      <c r="A140" s="43">
        <v>45870</v>
      </c>
      <c r="B140" t="s">
        <v>115</v>
      </c>
      <c r="C140" t="s">
        <v>68</v>
      </c>
      <c r="D140" s="2">
        <v>0</v>
      </c>
    </row>
    <row r="141" spans="1:4" x14ac:dyDescent="0.25">
      <c r="A141" s="43">
        <v>45901</v>
      </c>
      <c r="B141" t="s">
        <v>115</v>
      </c>
      <c r="C141" t="s">
        <v>68</v>
      </c>
      <c r="D141" s="2">
        <v>0</v>
      </c>
    </row>
    <row r="142" spans="1:4" x14ac:dyDescent="0.25">
      <c r="A142" s="43">
        <v>45931</v>
      </c>
      <c r="B142" t="s">
        <v>115</v>
      </c>
      <c r="C142" t="s">
        <v>68</v>
      </c>
      <c r="D142" s="2">
        <v>0</v>
      </c>
    </row>
    <row r="143" spans="1:4" x14ac:dyDescent="0.25">
      <c r="A143" s="43">
        <v>45962</v>
      </c>
      <c r="B143" t="s">
        <v>115</v>
      </c>
      <c r="C143" t="s">
        <v>68</v>
      </c>
      <c r="D143" s="2">
        <v>0</v>
      </c>
    </row>
    <row r="144" spans="1:4" x14ac:dyDescent="0.25">
      <c r="A144" s="43">
        <v>45992</v>
      </c>
      <c r="B144" t="s">
        <v>115</v>
      </c>
      <c r="C144" t="s">
        <v>68</v>
      </c>
      <c r="D144" s="2">
        <v>0</v>
      </c>
    </row>
    <row r="145" spans="1:4" x14ac:dyDescent="0.25">
      <c r="A145" s="43">
        <v>45689</v>
      </c>
      <c r="B145" t="s">
        <v>115</v>
      </c>
      <c r="C145" t="s">
        <v>71</v>
      </c>
      <c r="D145" s="2">
        <v>0</v>
      </c>
    </row>
    <row r="146" spans="1:4" x14ac:dyDescent="0.25">
      <c r="A146" s="43">
        <v>45717</v>
      </c>
      <c r="B146" t="s">
        <v>115</v>
      </c>
      <c r="C146" t="s">
        <v>71</v>
      </c>
      <c r="D146" s="2">
        <v>0</v>
      </c>
    </row>
    <row r="147" spans="1:4" x14ac:dyDescent="0.25">
      <c r="A147" s="43">
        <v>45748</v>
      </c>
      <c r="B147" t="s">
        <v>115</v>
      </c>
      <c r="C147" t="s">
        <v>71</v>
      </c>
      <c r="D147" s="2">
        <v>0</v>
      </c>
    </row>
    <row r="148" spans="1:4" x14ac:dyDescent="0.25">
      <c r="A148" s="43">
        <v>45778</v>
      </c>
      <c r="B148" t="s">
        <v>115</v>
      </c>
      <c r="C148" t="s">
        <v>71</v>
      </c>
      <c r="D148" s="2">
        <v>0</v>
      </c>
    </row>
    <row r="149" spans="1:4" x14ac:dyDescent="0.25">
      <c r="A149" s="43">
        <v>45809</v>
      </c>
      <c r="B149" t="s">
        <v>115</v>
      </c>
      <c r="C149" t="s">
        <v>71</v>
      </c>
      <c r="D149" s="2">
        <v>123.57</v>
      </c>
    </row>
    <row r="150" spans="1:4" x14ac:dyDescent="0.25">
      <c r="A150" s="43">
        <v>45839</v>
      </c>
      <c r="B150" t="s">
        <v>115</v>
      </c>
      <c r="C150" t="s">
        <v>71</v>
      </c>
      <c r="D150" s="2">
        <v>64.459999999999994</v>
      </c>
    </row>
    <row r="151" spans="1:4" x14ac:dyDescent="0.25">
      <c r="A151" s="43">
        <v>45870</v>
      </c>
      <c r="B151" t="s">
        <v>115</v>
      </c>
      <c r="C151" t="s">
        <v>71</v>
      </c>
      <c r="D151" s="2">
        <v>278.83</v>
      </c>
    </row>
    <row r="152" spans="1:4" x14ac:dyDescent="0.25">
      <c r="A152" s="43">
        <v>45901</v>
      </c>
      <c r="B152" t="s">
        <v>115</v>
      </c>
      <c r="C152" t="s">
        <v>71</v>
      </c>
      <c r="D152" s="2">
        <v>0</v>
      </c>
    </row>
    <row r="153" spans="1:4" x14ac:dyDescent="0.25">
      <c r="A153" s="43">
        <v>45931</v>
      </c>
      <c r="B153" t="s">
        <v>115</v>
      </c>
      <c r="C153" t="s">
        <v>71</v>
      </c>
      <c r="D153" s="2">
        <v>33.369999999999997</v>
      </c>
    </row>
    <row r="154" spans="1:4" x14ac:dyDescent="0.25">
      <c r="A154" s="43">
        <v>45962</v>
      </c>
      <c r="B154" t="s">
        <v>115</v>
      </c>
      <c r="C154" t="s">
        <v>71</v>
      </c>
      <c r="D154" s="2">
        <v>0</v>
      </c>
    </row>
    <row r="155" spans="1:4" x14ac:dyDescent="0.25">
      <c r="A155" s="43">
        <v>45992</v>
      </c>
      <c r="B155" t="s">
        <v>115</v>
      </c>
      <c r="C155" t="s">
        <v>71</v>
      </c>
      <c r="D155" s="2">
        <v>975.35</v>
      </c>
    </row>
    <row r="156" spans="1:4" x14ac:dyDescent="0.25">
      <c r="A156" s="43">
        <v>45689</v>
      </c>
      <c r="B156" t="s">
        <v>115</v>
      </c>
      <c r="C156" t="s">
        <v>62</v>
      </c>
      <c r="D156" s="2">
        <v>1200</v>
      </c>
    </row>
    <row r="157" spans="1:4" x14ac:dyDescent="0.25">
      <c r="A157" s="43">
        <v>45717</v>
      </c>
      <c r="B157" t="s">
        <v>115</v>
      </c>
      <c r="C157" t="s">
        <v>62</v>
      </c>
      <c r="D157" s="2">
        <v>0</v>
      </c>
    </row>
    <row r="158" spans="1:4" x14ac:dyDescent="0.25">
      <c r="A158" s="43">
        <v>45748</v>
      </c>
      <c r="B158" t="s">
        <v>115</v>
      </c>
      <c r="C158" t="s">
        <v>62</v>
      </c>
      <c r="D158" s="2">
        <v>0</v>
      </c>
    </row>
    <row r="159" spans="1:4" x14ac:dyDescent="0.25">
      <c r="A159" s="43">
        <v>45778</v>
      </c>
      <c r="B159" t="s">
        <v>115</v>
      </c>
      <c r="C159" t="s">
        <v>62</v>
      </c>
      <c r="D159" s="2">
        <v>0</v>
      </c>
    </row>
    <row r="160" spans="1:4" x14ac:dyDescent="0.25">
      <c r="A160" s="43">
        <v>45809</v>
      </c>
      <c r="B160" t="s">
        <v>115</v>
      </c>
      <c r="C160" t="s">
        <v>62</v>
      </c>
      <c r="D160" s="2">
        <v>0</v>
      </c>
    </row>
    <row r="161" spans="1:4" x14ac:dyDescent="0.25">
      <c r="A161" s="43">
        <v>45839</v>
      </c>
      <c r="B161" t="s">
        <v>115</v>
      </c>
      <c r="C161" t="s">
        <v>62</v>
      </c>
      <c r="D161" s="2">
        <v>0</v>
      </c>
    </row>
    <row r="162" spans="1:4" x14ac:dyDescent="0.25">
      <c r="A162" s="43">
        <v>45870</v>
      </c>
      <c r="B162" t="s">
        <v>115</v>
      </c>
      <c r="C162" t="s">
        <v>62</v>
      </c>
      <c r="D162" s="2">
        <v>0</v>
      </c>
    </row>
    <row r="163" spans="1:4" x14ac:dyDescent="0.25">
      <c r="A163" s="43">
        <v>45901</v>
      </c>
      <c r="B163" t="s">
        <v>115</v>
      </c>
      <c r="C163" t="s">
        <v>62</v>
      </c>
      <c r="D163" s="2">
        <v>0</v>
      </c>
    </row>
    <row r="164" spans="1:4" x14ac:dyDescent="0.25">
      <c r="A164" s="43">
        <v>45931</v>
      </c>
      <c r="B164" t="s">
        <v>115</v>
      </c>
      <c r="C164" t="s">
        <v>62</v>
      </c>
      <c r="D164" s="2">
        <v>0</v>
      </c>
    </row>
    <row r="165" spans="1:4" x14ac:dyDescent="0.25">
      <c r="A165" s="43">
        <v>45962</v>
      </c>
      <c r="B165" t="s">
        <v>115</v>
      </c>
      <c r="C165" t="s">
        <v>62</v>
      </c>
      <c r="D165" s="2">
        <v>0</v>
      </c>
    </row>
    <row r="166" spans="1:4" x14ac:dyDescent="0.25">
      <c r="A166" s="43">
        <v>45992</v>
      </c>
      <c r="B166" t="s">
        <v>115</v>
      </c>
      <c r="C166" t="s">
        <v>62</v>
      </c>
      <c r="D166" s="2">
        <v>0</v>
      </c>
    </row>
    <row r="167" spans="1:4" x14ac:dyDescent="0.25">
      <c r="A167" s="43">
        <v>45689</v>
      </c>
      <c r="B167" t="s">
        <v>115</v>
      </c>
      <c r="C167" t="s">
        <v>66</v>
      </c>
      <c r="D167" s="2">
        <v>0</v>
      </c>
    </row>
    <row r="168" spans="1:4" x14ac:dyDescent="0.25">
      <c r="A168" s="43">
        <v>45717</v>
      </c>
      <c r="B168" t="s">
        <v>115</v>
      </c>
      <c r="C168" t="s">
        <v>66</v>
      </c>
      <c r="D168" s="2">
        <v>0</v>
      </c>
    </row>
    <row r="169" spans="1:4" x14ac:dyDescent="0.25">
      <c r="A169" s="43">
        <v>45748</v>
      </c>
      <c r="B169" t="s">
        <v>115</v>
      </c>
      <c r="C169" t="s">
        <v>66</v>
      </c>
      <c r="D169" s="2">
        <v>0</v>
      </c>
    </row>
    <row r="170" spans="1:4" x14ac:dyDescent="0.25">
      <c r="A170" s="43">
        <v>45778</v>
      </c>
      <c r="B170" t="s">
        <v>115</v>
      </c>
      <c r="C170" t="s">
        <v>66</v>
      </c>
      <c r="D170" s="2">
        <v>0</v>
      </c>
    </row>
    <row r="171" spans="1:4" x14ac:dyDescent="0.25">
      <c r="A171" s="43">
        <v>45809</v>
      </c>
      <c r="B171" t="s">
        <v>115</v>
      </c>
      <c r="C171" t="s">
        <v>66</v>
      </c>
      <c r="D171" s="2">
        <v>0</v>
      </c>
    </row>
    <row r="172" spans="1:4" x14ac:dyDescent="0.25">
      <c r="A172" s="43">
        <v>45839</v>
      </c>
      <c r="B172" t="s">
        <v>115</v>
      </c>
      <c r="C172" t="s">
        <v>66</v>
      </c>
      <c r="D172" s="2">
        <v>239.99</v>
      </c>
    </row>
    <row r="173" spans="1:4" x14ac:dyDescent="0.25">
      <c r="A173" s="43">
        <v>45870</v>
      </c>
      <c r="B173" t="s">
        <v>115</v>
      </c>
      <c r="C173" t="s">
        <v>66</v>
      </c>
      <c r="D173" s="2">
        <v>450</v>
      </c>
    </row>
    <row r="174" spans="1:4" x14ac:dyDescent="0.25">
      <c r="A174" s="43">
        <v>45901</v>
      </c>
      <c r="B174" t="s">
        <v>115</v>
      </c>
      <c r="C174" t="s">
        <v>66</v>
      </c>
      <c r="D174" s="2">
        <v>329.98</v>
      </c>
    </row>
    <row r="175" spans="1:4" x14ac:dyDescent="0.25">
      <c r="A175" s="43">
        <v>45931</v>
      </c>
      <c r="B175" t="s">
        <v>115</v>
      </c>
      <c r="C175" t="s">
        <v>66</v>
      </c>
      <c r="D175" s="2">
        <v>0</v>
      </c>
    </row>
    <row r="176" spans="1:4" x14ac:dyDescent="0.25">
      <c r="A176" s="43">
        <v>45962</v>
      </c>
      <c r="B176" t="s">
        <v>115</v>
      </c>
      <c r="C176" t="s">
        <v>66</v>
      </c>
      <c r="D176" s="2">
        <v>0</v>
      </c>
    </row>
    <row r="177" spans="1:4" x14ac:dyDescent="0.25">
      <c r="A177" s="43">
        <v>45992</v>
      </c>
      <c r="B177" t="s">
        <v>115</v>
      </c>
      <c r="C177" t="s">
        <v>66</v>
      </c>
      <c r="D177" s="2">
        <v>0</v>
      </c>
    </row>
    <row r="178" spans="1:4" x14ac:dyDescent="0.25">
      <c r="A178" s="43">
        <v>45689</v>
      </c>
      <c r="B178" t="s">
        <v>115</v>
      </c>
      <c r="C178" t="s">
        <v>70</v>
      </c>
      <c r="D178" s="2">
        <v>0</v>
      </c>
    </row>
    <row r="179" spans="1:4" x14ac:dyDescent="0.25">
      <c r="A179" s="43">
        <v>45717</v>
      </c>
      <c r="B179" t="s">
        <v>115</v>
      </c>
      <c r="C179" t="s">
        <v>70</v>
      </c>
      <c r="D179" s="2">
        <v>0</v>
      </c>
    </row>
    <row r="180" spans="1:4" x14ac:dyDescent="0.25">
      <c r="A180" s="43">
        <v>45748</v>
      </c>
      <c r="B180" t="s">
        <v>115</v>
      </c>
      <c r="C180" t="s">
        <v>70</v>
      </c>
      <c r="D180" s="2">
        <v>0</v>
      </c>
    </row>
    <row r="181" spans="1:4" x14ac:dyDescent="0.25">
      <c r="A181" s="43">
        <v>45778</v>
      </c>
      <c r="B181" t="s">
        <v>115</v>
      </c>
      <c r="C181" t="s">
        <v>70</v>
      </c>
      <c r="D181" s="2">
        <v>0</v>
      </c>
    </row>
    <row r="182" spans="1:4" x14ac:dyDescent="0.25">
      <c r="A182" s="43">
        <v>45809</v>
      </c>
      <c r="B182" t="s">
        <v>115</v>
      </c>
      <c r="C182" t="s">
        <v>70</v>
      </c>
      <c r="D182" s="2">
        <v>0</v>
      </c>
    </row>
    <row r="183" spans="1:4" x14ac:dyDescent="0.25">
      <c r="A183" s="43">
        <v>45839</v>
      </c>
      <c r="B183" t="s">
        <v>115</v>
      </c>
      <c r="C183" t="s">
        <v>70</v>
      </c>
      <c r="D183" s="2">
        <v>0</v>
      </c>
    </row>
    <row r="184" spans="1:4" x14ac:dyDescent="0.25">
      <c r="A184" s="43">
        <v>45870</v>
      </c>
      <c r="B184" t="s">
        <v>115</v>
      </c>
      <c r="C184" t="s">
        <v>70</v>
      </c>
      <c r="D184" s="2">
        <v>0</v>
      </c>
    </row>
    <row r="185" spans="1:4" x14ac:dyDescent="0.25">
      <c r="A185" s="43">
        <v>45901</v>
      </c>
      <c r="B185" t="s">
        <v>115</v>
      </c>
      <c r="C185" t="s">
        <v>70</v>
      </c>
      <c r="D185" s="2">
        <v>0</v>
      </c>
    </row>
    <row r="186" spans="1:4" x14ac:dyDescent="0.25">
      <c r="A186" s="43">
        <v>45931</v>
      </c>
      <c r="B186" t="s">
        <v>115</v>
      </c>
      <c r="C186" t="s">
        <v>70</v>
      </c>
      <c r="D186" s="2">
        <v>0</v>
      </c>
    </row>
    <row r="187" spans="1:4" x14ac:dyDescent="0.25">
      <c r="A187" s="43">
        <v>45962</v>
      </c>
      <c r="B187" t="s">
        <v>115</v>
      </c>
      <c r="C187" t="s">
        <v>70</v>
      </c>
      <c r="D187" s="2">
        <v>0</v>
      </c>
    </row>
    <row r="188" spans="1:4" x14ac:dyDescent="0.25">
      <c r="A188" s="43">
        <v>45992</v>
      </c>
      <c r="B188" t="s">
        <v>115</v>
      </c>
      <c r="C188" t="s">
        <v>70</v>
      </c>
      <c r="D188" s="2">
        <v>750</v>
      </c>
    </row>
    <row r="189" spans="1:4" x14ac:dyDescent="0.25">
      <c r="A189" s="43">
        <v>45689</v>
      </c>
      <c r="B189" t="s">
        <v>115</v>
      </c>
      <c r="C189" t="s">
        <v>40</v>
      </c>
      <c r="D189" s="2">
        <v>0</v>
      </c>
    </row>
    <row r="190" spans="1:4" x14ac:dyDescent="0.25">
      <c r="A190" s="43">
        <v>45717</v>
      </c>
      <c r="B190" t="s">
        <v>115</v>
      </c>
      <c r="C190" t="s">
        <v>40</v>
      </c>
      <c r="D190" s="2">
        <v>0</v>
      </c>
    </row>
    <row r="191" spans="1:4" x14ac:dyDescent="0.25">
      <c r="A191" s="43">
        <v>45748</v>
      </c>
      <c r="B191" t="s">
        <v>115</v>
      </c>
      <c r="C191" t="s">
        <v>40</v>
      </c>
      <c r="D191" s="2">
        <v>0</v>
      </c>
    </row>
    <row r="192" spans="1:4" x14ac:dyDescent="0.25">
      <c r="A192" s="43">
        <v>45778</v>
      </c>
      <c r="B192" t="s">
        <v>115</v>
      </c>
      <c r="C192" t="s">
        <v>40</v>
      </c>
      <c r="D192" s="2">
        <v>0</v>
      </c>
    </row>
    <row r="193" spans="1:4" x14ac:dyDescent="0.25">
      <c r="A193" s="43">
        <v>45809</v>
      </c>
      <c r="B193" t="s">
        <v>115</v>
      </c>
      <c r="C193" t="s">
        <v>40</v>
      </c>
      <c r="D193" s="2">
        <v>749.07</v>
      </c>
    </row>
    <row r="194" spans="1:4" x14ac:dyDescent="0.25">
      <c r="A194" s="43">
        <v>45839</v>
      </c>
      <c r="B194" t="s">
        <v>115</v>
      </c>
      <c r="C194" t="s">
        <v>40</v>
      </c>
      <c r="D194" s="2">
        <v>0</v>
      </c>
    </row>
    <row r="195" spans="1:4" x14ac:dyDescent="0.25">
      <c r="A195" s="43">
        <v>45870</v>
      </c>
      <c r="B195" t="s">
        <v>115</v>
      </c>
      <c r="C195" t="s">
        <v>40</v>
      </c>
      <c r="D195" s="2">
        <v>0</v>
      </c>
    </row>
    <row r="196" spans="1:4" x14ac:dyDescent="0.25">
      <c r="A196" s="43">
        <v>45901</v>
      </c>
      <c r="B196" t="s">
        <v>115</v>
      </c>
      <c r="C196" t="s">
        <v>40</v>
      </c>
      <c r="D196" s="2">
        <v>0</v>
      </c>
    </row>
    <row r="197" spans="1:4" x14ac:dyDescent="0.25">
      <c r="A197" s="43">
        <v>45931</v>
      </c>
      <c r="B197" t="s">
        <v>115</v>
      </c>
      <c r="C197" t="s">
        <v>40</v>
      </c>
      <c r="D197" s="2">
        <v>0</v>
      </c>
    </row>
    <row r="198" spans="1:4" x14ac:dyDescent="0.25">
      <c r="A198" s="43">
        <v>45962</v>
      </c>
      <c r="B198" t="s">
        <v>115</v>
      </c>
      <c r="C198" t="s">
        <v>40</v>
      </c>
      <c r="D198" s="2">
        <v>0</v>
      </c>
    </row>
    <row r="199" spans="1:4" x14ac:dyDescent="0.25">
      <c r="A199" s="43">
        <v>45992</v>
      </c>
      <c r="B199" t="s">
        <v>115</v>
      </c>
      <c r="C199" t="s">
        <v>40</v>
      </c>
      <c r="D199" s="2">
        <v>0</v>
      </c>
    </row>
    <row r="200" spans="1:4" x14ac:dyDescent="0.25">
      <c r="A200" s="43">
        <v>45689</v>
      </c>
      <c r="B200" t="s">
        <v>115</v>
      </c>
      <c r="C200" t="s">
        <v>73</v>
      </c>
      <c r="D200" s="2">
        <v>0</v>
      </c>
    </row>
    <row r="201" spans="1:4" x14ac:dyDescent="0.25">
      <c r="A201" s="43">
        <v>45717</v>
      </c>
      <c r="B201" t="s">
        <v>115</v>
      </c>
      <c r="C201" t="s">
        <v>73</v>
      </c>
      <c r="D201" s="2">
        <v>0</v>
      </c>
    </row>
    <row r="202" spans="1:4" x14ac:dyDescent="0.25">
      <c r="A202" s="43">
        <v>45748</v>
      </c>
      <c r="B202" t="s">
        <v>115</v>
      </c>
      <c r="C202" t="s">
        <v>73</v>
      </c>
      <c r="D202" s="2">
        <v>0</v>
      </c>
    </row>
    <row r="203" spans="1:4" x14ac:dyDescent="0.25">
      <c r="A203" s="43">
        <v>45778</v>
      </c>
      <c r="B203" t="s">
        <v>115</v>
      </c>
      <c r="C203" t="s">
        <v>73</v>
      </c>
      <c r="D203" s="2">
        <v>0</v>
      </c>
    </row>
    <row r="204" spans="1:4" x14ac:dyDescent="0.25">
      <c r="A204" s="43">
        <v>45809</v>
      </c>
      <c r="B204" t="s">
        <v>115</v>
      </c>
      <c r="C204" t="s">
        <v>73</v>
      </c>
      <c r="D204" s="2">
        <v>6.02</v>
      </c>
    </row>
    <row r="205" spans="1:4" x14ac:dyDescent="0.25">
      <c r="A205" s="43">
        <v>45839</v>
      </c>
      <c r="B205" t="s">
        <v>115</v>
      </c>
      <c r="C205" t="s">
        <v>73</v>
      </c>
      <c r="D205" s="2">
        <v>23.57</v>
      </c>
    </row>
    <row r="206" spans="1:4" x14ac:dyDescent="0.25">
      <c r="A206" s="43">
        <v>45870</v>
      </c>
      <c r="B206" t="s">
        <v>115</v>
      </c>
      <c r="C206" t="s">
        <v>73</v>
      </c>
      <c r="D206" s="2">
        <v>6.02</v>
      </c>
    </row>
    <row r="207" spans="1:4" x14ac:dyDescent="0.25">
      <c r="A207" s="43">
        <v>45901</v>
      </c>
      <c r="B207" t="s">
        <v>115</v>
      </c>
      <c r="C207" t="s">
        <v>73</v>
      </c>
      <c r="D207" s="2">
        <v>201.83</v>
      </c>
    </row>
    <row r="208" spans="1:4" x14ac:dyDescent="0.25">
      <c r="A208" s="43">
        <v>45931</v>
      </c>
      <c r="B208" t="s">
        <v>115</v>
      </c>
      <c r="C208" t="s">
        <v>73</v>
      </c>
      <c r="D208" s="2">
        <v>32.299999999999997</v>
      </c>
    </row>
    <row r="209" spans="1:4" x14ac:dyDescent="0.25">
      <c r="A209" s="43">
        <v>45962</v>
      </c>
      <c r="B209" t="s">
        <v>115</v>
      </c>
      <c r="C209" t="s">
        <v>73</v>
      </c>
      <c r="D209" s="2">
        <v>18.62</v>
      </c>
    </row>
    <row r="210" spans="1:4" x14ac:dyDescent="0.25">
      <c r="A210" s="43">
        <v>45992</v>
      </c>
      <c r="B210" t="s">
        <v>115</v>
      </c>
      <c r="C210" t="s">
        <v>73</v>
      </c>
      <c r="D210" s="2">
        <v>6.23</v>
      </c>
    </row>
    <row r="211" spans="1:4" x14ac:dyDescent="0.25">
      <c r="A211" s="43">
        <v>45689</v>
      </c>
      <c r="B211" t="s">
        <v>115</v>
      </c>
      <c r="C211" t="s">
        <v>60</v>
      </c>
      <c r="D211" s="2">
        <v>0</v>
      </c>
    </row>
    <row r="212" spans="1:4" x14ac:dyDescent="0.25">
      <c r="A212" s="43">
        <v>45717</v>
      </c>
      <c r="B212" t="s">
        <v>115</v>
      </c>
      <c r="C212" t="s">
        <v>60</v>
      </c>
      <c r="D212" s="2">
        <v>0</v>
      </c>
    </row>
    <row r="213" spans="1:4" x14ac:dyDescent="0.25">
      <c r="A213" s="43">
        <v>45748</v>
      </c>
      <c r="B213" t="s">
        <v>115</v>
      </c>
      <c r="C213" t="s">
        <v>60</v>
      </c>
      <c r="D213" s="2">
        <v>0</v>
      </c>
    </row>
    <row r="214" spans="1:4" x14ac:dyDescent="0.25">
      <c r="A214" s="43">
        <v>45778</v>
      </c>
      <c r="B214" t="s">
        <v>115</v>
      </c>
      <c r="C214" t="s">
        <v>60</v>
      </c>
      <c r="D214" s="2">
        <v>259.60000000000002</v>
      </c>
    </row>
    <row r="215" spans="1:4" x14ac:dyDescent="0.25">
      <c r="A215" s="43">
        <v>45809</v>
      </c>
      <c r="B215" t="s">
        <v>115</v>
      </c>
      <c r="C215" t="s">
        <v>60</v>
      </c>
      <c r="D215" s="2">
        <v>0</v>
      </c>
    </row>
    <row r="216" spans="1:4" x14ac:dyDescent="0.25">
      <c r="A216" s="43">
        <v>45839</v>
      </c>
      <c r="B216" t="s">
        <v>115</v>
      </c>
      <c r="C216" t="s">
        <v>60</v>
      </c>
      <c r="D216" s="2">
        <v>0</v>
      </c>
    </row>
    <row r="217" spans="1:4" x14ac:dyDescent="0.25">
      <c r="A217" s="43">
        <v>45870</v>
      </c>
      <c r="B217" t="s">
        <v>115</v>
      </c>
      <c r="C217" t="s">
        <v>60</v>
      </c>
      <c r="D217" s="2">
        <v>0</v>
      </c>
    </row>
    <row r="218" spans="1:4" x14ac:dyDescent="0.25">
      <c r="A218" s="43">
        <v>45901</v>
      </c>
      <c r="B218" t="s">
        <v>115</v>
      </c>
      <c r="C218" t="s">
        <v>60</v>
      </c>
      <c r="D218" s="2">
        <v>0</v>
      </c>
    </row>
    <row r="219" spans="1:4" x14ac:dyDescent="0.25">
      <c r="A219" s="43">
        <v>45931</v>
      </c>
      <c r="B219" t="s">
        <v>115</v>
      </c>
      <c r="C219" t="s">
        <v>60</v>
      </c>
      <c r="D219" s="2">
        <v>0</v>
      </c>
    </row>
    <row r="220" spans="1:4" x14ac:dyDescent="0.25">
      <c r="A220" s="43">
        <v>45962</v>
      </c>
      <c r="B220" t="s">
        <v>115</v>
      </c>
      <c r="C220" t="s">
        <v>60</v>
      </c>
      <c r="D220" s="2">
        <v>0</v>
      </c>
    </row>
    <row r="221" spans="1:4" x14ac:dyDescent="0.25">
      <c r="A221" s="43">
        <v>45992</v>
      </c>
      <c r="B221" t="s">
        <v>115</v>
      </c>
      <c r="C221" t="s">
        <v>60</v>
      </c>
      <c r="D221" s="2">
        <v>0</v>
      </c>
    </row>
    <row r="222" spans="1:4" x14ac:dyDescent="0.25">
      <c r="A222" s="43">
        <v>45689</v>
      </c>
      <c r="B222" t="s">
        <v>115</v>
      </c>
      <c r="C222" t="s">
        <v>63</v>
      </c>
      <c r="D222" s="2">
        <v>0</v>
      </c>
    </row>
    <row r="223" spans="1:4" x14ac:dyDescent="0.25">
      <c r="A223" s="43">
        <v>45717</v>
      </c>
      <c r="B223" t="s">
        <v>115</v>
      </c>
      <c r="C223" t="s">
        <v>63</v>
      </c>
      <c r="D223" s="2">
        <v>0</v>
      </c>
    </row>
    <row r="224" spans="1:4" x14ac:dyDescent="0.25">
      <c r="A224" s="43">
        <v>45748</v>
      </c>
      <c r="B224" t="s">
        <v>115</v>
      </c>
      <c r="C224" t="s">
        <v>63</v>
      </c>
      <c r="D224" s="2">
        <v>0</v>
      </c>
    </row>
    <row r="225" spans="1:4" x14ac:dyDescent="0.25">
      <c r="A225" s="43">
        <v>45778</v>
      </c>
      <c r="B225" t="s">
        <v>115</v>
      </c>
      <c r="C225" t="s">
        <v>63</v>
      </c>
      <c r="D225" s="2">
        <v>0</v>
      </c>
    </row>
    <row r="226" spans="1:4" x14ac:dyDescent="0.25">
      <c r="A226" s="43">
        <v>45809</v>
      </c>
      <c r="B226" t="s">
        <v>115</v>
      </c>
      <c r="C226" t="s">
        <v>63</v>
      </c>
      <c r="D226" s="2">
        <v>0</v>
      </c>
    </row>
    <row r="227" spans="1:4" x14ac:dyDescent="0.25">
      <c r="A227" s="43">
        <v>45839</v>
      </c>
      <c r="B227" t="s">
        <v>115</v>
      </c>
      <c r="C227" t="s">
        <v>63</v>
      </c>
      <c r="D227" s="2">
        <v>0</v>
      </c>
    </row>
    <row r="228" spans="1:4" x14ac:dyDescent="0.25">
      <c r="A228" s="43">
        <v>45870</v>
      </c>
      <c r="B228" t="s">
        <v>115</v>
      </c>
      <c r="C228" t="s">
        <v>63</v>
      </c>
      <c r="D228" s="2">
        <v>0</v>
      </c>
    </row>
    <row r="229" spans="1:4" x14ac:dyDescent="0.25">
      <c r="A229" s="43">
        <v>45901</v>
      </c>
      <c r="B229" t="s">
        <v>115</v>
      </c>
      <c r="C229" t="s">
        <v>63</v>
      </c>
      <c r="D229" s="2">
        <v>0</v>
      </c>
    </row>
    <row r="230" spans="1:4" x14ac:dyDescent="0.25">
      <c r="A230" s="43">
        <v>45931</v>
      </c>
      <c r="B230" t="s">
        <v>115</v>
      </c>
      <c r="C230" t="s">
        <v>63</v>
      </c>
      <c r="D230" s="2">
        <v>0</v>
      </c>
    </row>
    <row r="231" spans="1:4" x14ac:dyDescent="0.25">
      <c r="A231" s="43">
        <v>45962</v>
      </c>
      <c r="B231" t="s">
        <v>115</v>
      </c>
      <c r="C231" t="s">
        <v>63</v>
      </c>
      <c r="D231" s="2">
        <v>0</v>
      </c>
    </row>
    <row r="232" spans="1:4" x14ac:dyDescent="0.25">
      <c r="A232" s="43">
        <v>45992</v>
      </c>
      <c r="B232" t="s">
        <v>115</v>
      </c>
      <c r="C232" t="s">
        <v>63</v>
      </c>
      <c r="D232" s="2">
        <v>223.13</v>
      </c>
    </row>
    <row r="233" spans="1:4" x14ac:dyDescent="0.25">
      <c r="A233" s="43">
        <v>45689</v>
      </c>
      <c r="B233" t="s">
        <v>115</v>
      </c>
      <c r="C233" t="s">
        <v>61</v>
      </c>
      <c r="D233" s="2">
        <v>0</v>
      </c>
    </row>
    <row r="234" spans="1:4" x14ac:dyDescent="0.25">
      <c r="A234" s="43">
        <v>45717</v>
      </c>
      <c r="B234" t="s">
        <v>115</v>
      </c>
      <c r="C234" t="s">
        <v>61</v>
      </c>
      <c r="D234" s="2">
        <v>0</v>
      </c>
    </row>
    <row r="235" spans="1:4" x14ac:dyDescent="0.25">
      <c r="A235" s="43">
        <v>45748</v>
      </c>
      <c r="B235" t="s">
        <v>115</v>
      </c>
      <c r="C235" t="s">
        <v>61</v>
      </c>
      <c r="D235" s="2">
        <v>0</v>
      </c>
    </row>
    <row r="236" spans="1:4" x14ac:dyDescent="0.25">
      <c r="A236" s="43">
        <v>45778</v>
      </c>
      <c r="B236" t="s">
        <v>115</v>
      </c>
      <c r="C236" t="s">
        <v>61</v>
      </c>
      <c r="D236" s="2">
        <v>0</v>
      </c>
    </row>
    <row r="237" spans="1:4" x14ac:dyDescent="0.25">
      <c r="A237" s="43">
        <v>45809</v>
      </c>
      <c r="B237" t="s">
        <v>115</v>
      </c>
      <c r="C237" t="s">
        <v>61</v>
      </c>
      <c r="D237" s="2">
        <v>172.4</v>
      </c>
    </row>
    <row r="238" spans="1:4" x14ac:dyDescent="0.25">
      <c r="A238" s="43">
        <v>45839</v>
      </c>
      <c r="B238" t="s">
        <v>115</v>
      </c>
      <c r="C238" t="s">
        <v>61</v>
      </c>
      <c r="D238" s="2">
        <v>0</v>
      </c>
    </row>
    <row r="239" spans="1:4" x14ac:dyDescent="0.25">
      <c r="A239" s="43">
        <v>45870</v>
      </c>
      <c r="B239" t="s">
        <v>115</v>
      </c>
      <c r="C239" t="s">
        <v>61</v>
      </c>
      <c r="D239" s="2">
        <v>0</v>
      </c>
    </row>
    <row r="240" spans="1:4" x14ac:dyDescent="0.25">
      <c r="A240" s="43">
        <v>45901</v>
      </c>
      <c r="B240" t="s">
        <v>115</v>
      </c>
      <c r="C240" t="s">
        <v>61</v>
      </c>
      <c r="D240" s="2">
        <v>0</v>
      </c>
    </row>
    <row r="241" spans="1:4" x14ac:dyDescent="0.25">
      <c r="A241" s="43">
        <v>45931</v>
      </c>
      <c r="B241" t="s">
        <v>115</v>
      </c>
      <c r="C241" t="s">
        <v>61</v>
      </c>
      <c r="D241" s="2">
        <v>0</v>
      </c>
    </row>
    <row r="242" spans="1:4" x14ac:dyDescent="0.25">
      <c r="A242" s="43">
        <v>45962</v>
      </c>
      <c r="B242" t="s">
        <v>115</v>
      </c>
      <c r="C242" t="s">
        <v>61</v>
      </c>
      <c r="D242" s="2">
        <v>0</v>
      </c>
    </row>
    <row r="243" spans="1:4" x14ac:dyDescent="0.25">
      <c r="A243" s="43">
        <v>45992</v>
      </c>
      <c r="B243" t="s">
        <v>115</v>
      </c>
      <c r="C243" t="s">
        <v>61</v>
      </c>
      <c r="D243" s="2">
        <v>0</v>
      </c>
    </row>
    <row r="244" spans="1:4" x14ac:dyDescent="0.25">
      <c r="A244" s="43">
        <v>45689</v>
      </c>
      <c r="B244" t="s">
        <v>115</v>
      </c>
      <c r="C244" t="s">
        <v>74</v>
      </c>
      <c r="D244" s="2">
        <v>0</v>
      </c>
    </row>
    <row r="245" spans="1:4" x14ac:dyDescent="0.25">
      <c r="A245" s="43">
        <v>45717</v>
      </c>
      <c r="B245" t="s">
        <v>115</v>
      </c>
      <c r="C245" t="s">
        <v>74</v>
      </c>
      <c r="D245" s="2">
        <v>0</v>
      </c>
    </row>
    <row r="246" spans="1:4" x14ac:dyDescent="0.25">
      <c r="A246" s="43">
        <v>45748</v>
      </c>
      <c r="B246" t="s">
        <v>115</v>
      </c>
      <c r="C246" t="s">
        <v>74</v>
      </c>
      <c r="D246" s="2">
        <v>0</v>
      </c>
    </row>
    <row r="247" spans="1:4" x14ac:dyDescent="0.25">
      <c r="A247" s="43">
        <v>45778</v>
      </c>
      <c r="B247" t="s">
        <v>115</v>
      </c>
      <c r="C247" t="s">
        <v>74</v>
      </c>
      <c r="D247" s="2">
        <v>0</v>
      </c>
    </row>
    <row r="248" spans="1:4" x14ac:dyDescent="0.25">
      <c r="A248" s="43">
        <v>45809</v>
      </c>
      <c r="B248" t="s">
        <v>115</v>
      </c>
      <c r="C248" t="s">
        <v>74</v>
      </c>
      <c r="D248" s="2">
        <v>0</v>
      </c>
    </row>
    <row r="249" spans="1:4" x14ac:dyDescent="0.25">
      <c r="A249" s="43">
        <v>45839</v>
      </c>
      <c r="B249" t="s">
        <v>115</v>
      </c>
      <c r="C249" t="s">
        <v>74</v>
      </c>
      <c r="D249" s="2">
        <v>0</v>
      </c>
    </row>
    <row r="250" spans="1:4" x14ac:dyDescent="0.25">
      <c r="A250" s="43">
        <v>45870</v>
      </c>
      <c r="B250" t="s">
        <v>115</v>
      </c>
      <c r="C250" t="s">
        <v>74</v>
      </c>
      <c r="D250" s="2">
        <v>0</v>
      </c>
    </row>
    <row r="251" spans="1:4" x14ac:dyDescent="0.25">
      <c r="A251" s="43">
        <v>45901</v>
      </c>
      <c r="B251" t="s">
        <v>115</v>
      </c>
      <c r="C251" t="s">
        <v>74</v>
      </c>
      <c r="D251" s="2">
        <v>39.68</v>
      </c>
    </row>
    <row r="252" spans="1:4" x14ac:dyDescent="0.25">
      <c r="A252" s="43">
        <v>45931</v>
      </c>
      <c r="B252" t="s">
        <v>115</v>
      </c>
      <c r="C252" t="s">
        <v>74</v>
      </c>
      <c r="D252" s="2">
        <v>3.23</v>
      </c>
    </row>
    <row r="253" spans="1:4" x14ac:dyDescent="0.25">
      <c r="A253" s="43">
        <v>45962</v>
      </c>
      <c r="B253" t="s">
        <v>115</v>
      </c>
      <c r="C253" t="s">
        <v>74</v>
      </c>
      <c r="D253" s="2">
        <v>10.94</v>
      </c>
    </row>
    <row r="254" spans="1:4" x14ac:dyDescent="0.25">
      <c r="A254" s="43">
        <v>45992</v>
      </c>
      <c r="B254" t="s">
        <v>115</v>
      </c>
      <c r="C254" t="s">
        <v>74</v>
      </c>
      <c r="D254" s="2">
        <v>51.99</v>
      </c>
    </row>
    <row r="255" spans="1:4" x14ac:dyDescent="0.25">
      <c r="A255" s="43">
        <v>45689</v>
      </c>
      <c r="B255" t="s">
        <v>115</v>
      </c>
      <c r="C255" t="s">
        <v>45</v>
      </c>
      <c r="D255" s="2">
        <v>0</v>
      </c>
    </row>
    <row r="256" spans="1:4" x14ac:dyDescent="0.25">
      <c r="A256" s="43">
        <v>45717</v>
      </c>
      <c r="B256" t="s">
        <v>115</v>
      </c>
      <c r="C256" t="s">
        <v>45</v>
      </c>
      <c r="D256" s="2">
        <v>0</v>
      </c>
    </row>
    <row r="257" spans="1:4" x14ac:dyDescent="0.25">
      <c r="A257" s="43">
        <v>45748</v>
      </c>
      <c r="B257" t="s">
        <v>115</v>
      </c>
      <c r="C257" t="s">
        <v>45</v>
      </c>
      <c r="D257" s="2">
        <v>0</v>
      </c>
    </row>
    <row r="258" spans="1:4" x14ac:dyDescent="0.25">
      <c r="A258" s="43">
        <v>45778</v>
      </c>
      <c r="B258" t="s">
        <v>115</v>
      </c>
      <c r="C258" t="s">
        <v>45</v>
      </c>
      <c r="D258" s="2">
        <v>0</v>
      </c>
    </row>
    <row r="259" spans="1:4" x14ac:dyDescent="0.25">
      <c r="A259" s="43">
        <v>45809</v>
      </c>
      <c r="B259" t="s">
        <v>115</v>
      </c>
      <c r="C259" t="s">
        <v>45</v>
      </c>
      <c r="D259" s="2">
        <v>100</v>
      </c>
    </row>
    <row r="260" spans="1:4" x14ac:dyDescent="0.25">
      <c r="A260" s="43">
        <v>45839</v>
      </c>
      <c r="B260" t="s">
        <v>115</v>
      </c>
      <c r="C260" t="s">
        <v>45</v>
      </c>
      <c r="D260" s="2">
        <v>0</v>
      </c>
    </row>
    <row r="261" spans="1:4" x14ac:dyDescent="0.25">
      <c r="A261" s="43">
        <v>45870</v>
      </c>
      <c r="B261" t="s">
        <v>115</v>
      </c>
      <c r="C261" t="s">
        <v>45</v>
      </c>
      <c r="D261" s="2">
        <v>0</v>
      </c>
    </row>
    <row r="262" spans="1:4" x14ac:dyDescent="0.25">
      <c r="A262" s="43">
        <v>45901</v>
      </c>
      <c r="B262" t="s">
        <v>115</v>
      </c>
      <c r="C262" t="s">
        <v>45</v>
      </c>
      <c r="D262" s="2">
        <v>0</v>
      </c>
    </row>
    <row r="263" spans="1:4" x14ac:dyDescent="0.25">
      <c r="A263" s="43">
        <v>45931</v>
      </c>
      <c r="B263" t="s">
        <v>115</v>
      </c>
      <c r="C263" t="s">
        <v>45</v>
      </c>
      <c r="D263" s="2">
        <v>0</v>
      </c>
    </row>
    <row r="264" spans="1:4" x14ac:dyDescent="0.25">
      <c r="A264" s="43">
        <v>45962</v>
      </c>
      <c r="B264" t="s">
        <v>115</v>
      </c>
      <c r="C264" t="s">
        <v>45</v>
      </c>
      <c r="D264" s="2">
        <v>0</v>
      </c>
    </row>
    <row r="265" spans="1:4" x14ac:dyDescent="0.25">
      <c r="A265" s="43">
        <v>45992</v>
      </c>
      <c r="B265" t="s">
        <v>115</v>
      </c>
      <c r="C265" t="s">
        <v>45</v>
      </c>
      <c r="D265" s="2">
        <v>0</v>
      </c>
    </row>
    <row r="266" spans="1:4" x14ac:dyDescent="0.25">
      <c r="A266" s="43">
        <v>45689</v>
      </c>
      <c r="B266" t="s">
        <v>115</v>
      </c>
      <c r="C266" t="s">
        <v>75</v>
      </c>
      <c r="D266" s="2">
        <v>0</v>
      </c>
    </row>
    <row r="267" spans="1:4" x14ac:dyDescent="0.25">
      <c r="A267" s="43">
        <v>45717</v>
      </c>
      <c r="B267" t="s">
        <v>115</v>
      </c>
      <c r="C267" t="s">
        <v>75</v>
      </c>
      <c r="D267" s="2">
        <v>0</v>
      </c>
    </row>
    <row r="268" spans="1:4" x14ac:dyDescent="0.25">
      <c r="A268" s="43">
        <v>45748</v>
      </c>
      <c r="B268" t="s">
        <v>115</v>
      </c>
      <c r="C268" t="s">
        <v>75</v>
      </c>
      <c r="D268" s="2">
        <v>0</v>
      </c>
    </row>
    <row r="269" spans="1:4" x14ac:dyDescent="0.25">
      <c r="A269" s="43">
        <v>45778</v>
      </c>
      <c r="B269" t="s">
        <v>115</v>
      </c>
      <c r="C269" t="s">
        <v>75</v>
      </c>
      <c r="D269" s="2">
        <v>0</v>
      </c>
    </row>
    <row r="270" spans="1:4" x14ac:dyDescent="0.25">
      <c r="A270" s="43">
        <v>45809</v>
      </c>
      <c r="B270" t="s">
        <v>115</v>
      </c>
      <c r="C270" t="s">
        <v>75</v>
      </c>
      <c r="D270" s="2">
        <v>0</v>
      </c>
    </row>
    <row r="271" spans="1:4" x14ac:dyDescent="0.25">
      <c r="A271" s="43">
        <v>45839</v>
      </c>
      <c r="B271" t="s">
        <v>115</v>
      </c>
      <c r="C271" t="s">
        <v>75</v>
      </c>
      <c r="D271" s="2">
        <v>92.89</v>
      </c>
    </row>
    <row r="272" spans="1:4" x14ac:dyDescent="0.25">
      <c r="A272" s="43">
        <v>45870</v>
      </c>
      <c r="B272" t="s">
        <v>115</v>
      </c>
      <c r="C272" t="s">
        <v>75</v>
      </c>
      <c r="D272" s="2">
        <v>0</v>
      </c>
    </row>
    <row r="273" spans="1:4" x14ac:dyDescent="0.25">
      <c r="A273" s="43">
        <v>45901</v>
      </c>
      <c r="B273" t="s">
        <v>115</v>
      </c>
      <c r="C273" t="s">
        <v>75</v>
      </c>
      <c r="D273" s="2">
        <v>0</v>
      </c>
    </row>
    <row r="274" spans="1:4" x14ac:dyDescent="0.25">
      <c r="A274" s="43">
        <v>45931</v>
      </c>
      <c r="B274" t="s">
        <v>115</v>
      </c>
      <c r="C274" t="s">
        <v>75</v>
      </c>
      <c r="D274" s="2">
        <v>0</v>
      </c>
    </row>
    <row r="275" spans="1:4" x14ac:dyDescent="0.25">
      <c r="A275" s="43">
        <v>45962</v>
      </c>
      <c r="B275" t="s">
        <v>115</v>
      </c>
      <c r="C275" t="s">
        <v>75</v>
      </c>
      <c r="D275" s="2">
        <v>0</v>
      </c>
    </row>
    <row r="276" spans="1:4" x14ac:dyDescent="0.25">
      <c r="A276" s="43">
        <v>45992</v>
      </c>
      <c r="B276" t="s">
        <v>115</v>
      </c>
      <c r="C276" t="s">
        <v>75</v>
      </c>
      <c r="D276" s="2">
        <v>0</v>
      </c>
    </row>
    <row r="277" spans="1:4" x14ac:dyDescent="0.25">
      <c r="A277" s="43">
        <v>45689</v>
      </c>
      <c r="B277" t="s">
        <v>115</v>
      </c>
      <c r="C277" t="s">
        <v>69</v>
      </c>
      <c r="D277" s="2">
        <v>0</v>
      </c>
    </row>
    <row r="278" spans="1:4" x14ac:dyDescent="0.25">
      <c r="A278" s="43">
        <v>45717</v>
      </c>
      <c r="B278" t="s">
        <v>115</v>
      </c>
      <c r="C278" t="s">
        <v>69</v>
      </c>
      <c r="D278" s="2">
        <v>0</v>
      </c>
    </row>
    <row r="279" spans="1:4" x14ac:dyDescent="0.25">
      <c r="A279" s="43">
        <v>45748</v>
      </c>
      <c r="B279" t="s">
        <v>115</v>
      </c>
      <c r="C279" t="s">
        <v>69</v>
      </c>
      <c r="D279" s="2">
        <v>0</v>
      </c>
    </row>
    <row r="280" spans="1:4" x14ac:dyDescent="0.25">
      <c r="A280" s="43">
        <v>45778</v>
      </c>
      <c r="B280" t="s">
        <v>115</v>
      </c>
      <c r="C280" t="s">
        <v>69</v>
      </c>
      <c r="D280" s="2">
        <v>0</v>
      </c>
    </row>
    <row r="281" spans="1:4" x14ac:dyDescent="0.25">
      <c r="A281" s="43">
        <v>45809</v>
      </c>
      <c r="B281" t="s">
        <v>115</v>
      </c>
      <c r="C281" t="s">
        <v>69</v>
      </c>
      <c r="D281" s="2">
        <v>0</v>
      </c>
    </row>
    <row r="282" spans="1:4" x14ac:dyDescent="0.25">
      <c r="A282" s="43">
        <v>45839</v>
      </c>
      <c r="B282" t="s">
        <v>115</v>
      </c>
      <c r="C282" t="s">
        <v>69</v>
      </c>
      <c r="D282" s="2">
        <v>0</v>
      </c>
    </row>
    <row r="283" spans="1:4" x14ac:dyDescent="0.25">
      <c r="A283" s="43">
        <v>45870</v>
      </c>
      <c r="B283" t="s">
        <v>115</v>
      </c>
      <c r="C283" t="s">
        <v>69</v>
      </c>
      <c r="D283" s="2">
        <v>0</v>
      </c>
    </row>
    <row r="284" spans="1:4" x14ac:dyDescent="0.25">
      <c r="A284" s="43">
        <v>45901</v>
      </c>
      <c r="B284" t="s">
        <v>115</v>
      </c>
      <c r="C284" t="s">
        <v>69</v>
      </c>
      <c r="D284" s="2">
        <v>82.71</v>
      </c>
    </row>
    <row r="285" spans="1:4" x14ac:dyDescent="0.25">
      <c r="A285" s="43">
        <v>45931</v>
      </c>
      <c r="B285" t="s">
        <v>115</v>
      </c>
      <c r="C285" t="s">
        <v>69</v>
      </c>
      <c r="D285" s="2">
        <v>0</v>
      </c>
    </row>
    <row r="286" spans="1:4" x14ac:dyDescent="0.25">
      <c r="A286" s="43">
        <v>45962</v>
      </c>
      <c r="B286" t="s">
        <v>115</v>
      </c>
      <c r="C286" t="s">
        <v>69</v>
      </c>
      <c r="D286" s="2">
        <v>0</v>
      </c>
    </row>
    <row r="287" spans="1:4" x14ac:dyDescent="0.25">
      <c r="A287" s="43">
        <v>45992</v>
      </c>
      <c r="B287" t="s">
        <v>115</v>
      </c>
      <c r="C287" t="s">
        <v>69</v>
      </c>
      <c r="D287" s="2">
        <v>0</v>
      </c>
    </row>
    <row r="288" spans="1:4" x14ac:dyDescent="0.25">
      <c r="A288" s="43">
        <v>45689</v>
      </c>
      <c r="B288" t="s">
        <v>115</v>
      </c>
      <c r="C288" t="s">
        <v>76</v>
      </c>
      <c r="D288" s="2">
        <v>0</v>
      </c>
    </row>
    <row r="289" spans="1:4" x14ac:dyDescent="0.25">
      <c r="A289" s="43">
        <v>45717</v>
      </c>
      <c r="B289" t="s">
        <v>115</v>
      </c>
      <c r="C289" t="s">
        <v>76</v>
      </c>
      <c r="D289" s="2">
        <v>0</v>
      </c>
    </row>
    <row r="290" spans="1:4" x14ac:dyDescent="0.25">
      <c r="A290" s="43">
        <v>45748</v>
      </c>
      <c r="B290" t="s">
        <v>115</v>
      </c>
      <c r="C290" t="s">
        <v>76</v>
      </c>
      <c r="D290" s="2">
        <v>0</v>
      </c>
    </row>
    <row r="291" spans="1:4" x14ac:dyDescent="0.25">
      <c r="A291" s="43">
        <v>45778</v>
      </c>
      <c r="B291" t="s">
        <v>115</v>
      </c>
      <c r="C291" t="s">
        <v>76</v>
      </c>
      <c r="D291" s="2">
        <v>0</v>
      </c>
    </row>
    <row r="292" spans="1:4" x14ac:dyDescent="0.25">
      <c r="A292" s="43">
        <v>45809</v>
      </c>
      <c r="B292" t="s">
        <v>115</v>
      </c>
      <c r="C292" t="s">
        <v>76</v>
      </c>
      <c r="D292" s="2">
        <v>0</v>
      </c>
    </row>
    <row r="293" spans="1:4" x14ac:dyDescent="0.25">
      <c r="A293" s="43">
        <v>45839</v>
      </c>
      <c r="B293" t="s">
        <v>115</v>
      </c>
      <c r="C293" t="s">
        <v>76</v>
      </c>
      <c r="D293" s="2">
        <v>25.39</v>
      </c>
    </row>
    <row r="294" spans="1:4" x14ac:dyDescent="0.25">
      <c r="A294" s="43">
        <v>45870</v>
      </c>
      <c r="B294" t="s">
        <v>115</v>
      </c>
      <c r="C294" t="s">
        <v>76</v>
      </c>
      <c r="D294" s="2">
        <v>0</v>
      </c>
    </row>
    <row r="295" spans="1:4" x14ac:dyDescent="0.25">
      <c r="A295" s="43">
        <v>45901</v>
      </c>
      <c r="B295" t="s">
        <v>115</v>
      </c>
      <c r="C295" t="s">
        <v>76</v>
      </c>
      <c r="D295" s="2">
        <v>0</v>
      </c>
    </row>
    <row r="296" spans="1:4" x14ac:dyDescent="0.25">
      <c r="A296" s="43">
        <v>45931</v>
      </c>
      <c r="B296" t="s">
        <v>115</v>
      </c>
      <c r="C296" t="s">
        <v>76</v>
      </c>
      <c r="D296" s="2">
        <v>0</v>
      </c>
    </row>
    <row r="297" spans="1:4" x14ac:dyDescent="0.25">
      <c r="A297" s="43">
        <v>45962</v>
      </c>
      <c r="B297" t="s">
        <v>115</v>
      </c>
      <c r="C297" t="s">
        <v>76</v>
      </c>
      <c r="D297" s="2">
        <v>0</v>
      </c>
    </row>
    <row r="298" spans="1:4" x14ac:dyDescent="0.25">
      <c r="A298" s="43">
        <v>45992</v>
      </c>
      <c r="B298" t="s">
        <v>115</v>
      </c>
      <c r="C298" t="s">
        <v>76</v>
      </c>
      <c r="D298" s="2">
        <v>0</v>
      </c>
    </row>
    <row r="299" spans="1:4" x14ac:dyDescent="0.25">
      <c r="A299" s="43">
        <v>45689</v>
      </c>
      <c r="B299" t="s">
        <v>115</v>
      </c>
      <c r="C299" t="s">
        <v>64</v>
      </c>
      <c r="D299" s="2">
        <v>0</v>
      </c>
    </row>
    <row r="300" spans="1:4" x14ac:dyDescent="0.25">
      <c r="A300" s="43">
        <v>45717</v>
      </c>
      <c r="B300" t="s">
        <v>115</v>
      </c>
      <c r="C300" t="s">
        <v>64</v>
      </c>
      <c r="D300" s="2">
        <v>0</v>
      </c>
    </row>
    <row r="301" spans="1:4" x14ac:dyDescent="0.25">
      <c r="A301" s="43">
        <v>45748</v>
      </c>
      <c r="B301" t="s">
        <v>115</v>
      </c>
      <c r="C301" t="s">
        <v>64</v>
      </c>
      <c r="D301" s="2">
        <v>0</v>
      </c>
    </row>
    <row r="302" spans="1:4" x14ac:dyDescent="0.25">
      <c r="A302" s="43">
        <v>45778</v>
      </c>
      <c r="B302" t="s">
        <v>115</v>
      </c>
      <c r="C302" t="s">
        <v>64</v>
      </c>
      <c r="D302" s="2">
        <v>0</v>
      </c>
    </row>
    <row r="303" spans="1:4" x14ac:dyDescent="0.25">
      <c r="A303" s="43">
        <v>45809</v>
      </c>
      <c r="B303" t="s">
        <v>115</v>
      </c>
      <c r="C303" t="s">
        <v>64</v>
      </c>
      <c r="D303" s="2">
        <v>0</v>
      </c>
    </row>
    <row r="304" spans="1:4" x14ac:dyDescent="0.25">
      <c r="A304" s="43">
        <v>45839</v>
      </c>
      <c r="B304" t="s">
        <v>115</v>
      </c>
      <c r="C304" t="s">
        <v>64</v>
      </c>
      <c r="D304" s="2">
        <v>0</v>
      </c>
    </row>
    <row r="305" spans="1:4" x14ac:dyDescent="0.25">
      <c r="A305" s="43">
        <v>45870</v>
      </c>
      <c r="B305" t="s">
        <v>115</v>
      </c>
      <c r="C305" t="s">
        <v>64</v>
      </c>
      <c r="D305" s="2">
        <v>0</v>
      </c>
    </row>
    <row r="306" spans="1:4" x14ac:dyDescent="0.25">
      <c r="A306" s="43">
        <v>45901</v>
      </c>
      <c r="B306" t="s">
        <v>115</v>
      </c>
      <c r="C306" t="s">
        <v>64</v>
      </c>
      <c r="D306" s="2">
        <v>0</v>
      </c>
    </row>
    <row r="307" spans="1:4" x14ac:dyDescent="0.25">
      <c r="A307" s="43">
        <v>45931</v>
      </c>
      <c r="B307" t="s">
        <v>115</v>
      </c>
      <c r="C307" t="s">
        <v>64</v>
      </c>
      <c r="D307" s="2">
        <v>10.5</v>
      </c>
    </row>
    <row r="308" spans="1:4" x14ac:dyDescent="0.25">
      <c r="A308" s="43">
        <v>45962</v>
      </c>
      <c r="B308" t="s">
        <v>115</v>
      </c>
      <c r="C308" t="s">
        <v>64</v>
      </c>
      <c r="D308" s="2">
        <v>0</v>
      </c>
    </row>
    <row r="309" spans="1:4" x14ac:dyDescent="0.25">
      <c r="A309" s="43">
        <v>45992</v>
      </c>
      <c r="B309" t="s">
        <v>115</v>
      </c>
      <c r="C309" t="s">
        <v>64</v>
      </c>
      <c r="D309" s="2">
        <v>0</v>
      </c>
    </row>
    <row r="310" spans="1:4" x14ac:dyDescent="0.25">
      <c r="A310" s="43">
        <v>45689</v>
      </c>
      <c r="B310" t="s">
        <v>115</v>
      </c>
      <c r="C310" t="s">
        <v>48</v>
      </c>
      <c r="D310" s="2">
        <v>0</v>
      </c>
    </row>
    <row r="311" spans="1:4" x14ac:dyDescent="0.25">
      <c r="A311" s="43">
        <v>45717</v>
      </c>
      <c r="B311" t="s">
        <v>115</v>
      </c>
      <c r="C311" t="s">
        <v>48</v>
      </c>
      <c r="D311" s="2">
        <v>1.99</v>
      </c>
    </row>
    <row r="312" spans="1:4" x14ac:dyDescent="0.25">
      <c r="A312" s="43">
        <v>45748</v>
      </c>
      <c r="B312" t="s">
        <v>115</v>
      </c>
      <c r="C312" t="s">
        <v>48</v>
      </c>
      <c r="D312" s="2">
        <v>1.99</v>
      </c>
    </row>
    <row r="313" spans="1:4" x14ac:dyDescent="0.25">
      <c r="A313" s="43">
        <v>45778</v>
      </c>
      <c r="B313" t="s">
        <v>115</v>
      </c>
      <c r="C313" t="s">
        <v>48</v>
      </c>
      <c r="D313" s="2">
        <v>1.99</v>
      </c>
    </row>
    <row r="314" spans="1:4" x14ac:dyDescent="0.25">
      <c r="A314" s="43">
        <v>45809</v>
      </c>
      <c r="B314" t="s">
        <v>115</v>
      </c>
      <c r="C314" t="s">
        <v>48</v>
      </c>
      <c r="D314" s="2">
        <v>0</v>
      </c>
    </row>
    <row r="315" spans="1:4" x14ac:dyDescent="0.25">
      <c r="A315" s="43">
        <v>45839</v>
      </c>
      <c r="B315" t="s">
        <v>115</v>
      </c>
      <c r="C315" t="s">
        <v>48</v>
      </c>
      <c r="D315" s="2">
        <v>1.99</v>
      </c>
    </row>
    <row r="316" spans="1:4" x14ac:dyDescent="0.25">
      <c r="A316" s="43">
        <v>45870</v>
      </c>
      <c r="B316" t="s">
        <v>115</v>
      </c>
      <c r="C316" t="s">
        <v>48</v>
      </c>
      <c r="D316" s="2">
        <v>0</v>
      </c>
    </row>
    <row r="317" spans="1:4" x14ac:dyDescent="0.25">
      <c r="A317" s="43">
        <v>45901</v>
      </c>
      <c r="B317" t="s">
        <v>115</v>
      </c>
      <c r="C317" t="s">
        <v>48</v>
      </c>
      <c r="D317" s="2">
        <v>0</v>
      </c>
    </row>
    <row r="318" spans="1:4" x14ac:dyDescent="0.25">
      <c r="A318" s="43">
        <v>45931</v>
      </c>
      <c r="B318" t="s">
        <v>115</v>
      </c>
      <c r="C318" t="s">
        <v>48</v>
      </c>
      <c r="D318" s="2">
        <v>0</v>
      </c>
    </row>
    <row r="319" spans="1:4" x14ac:dyDescent="0.25">
      <c r="A319" s="43">
        <v>45962</v>
      </c>
      <c r="B319" t="s">
        <v>115</v>
      </c>
      <c r="C319" t="s">
        <v>48</v>
      </c>
      <c r="D319" s="2">
        <v>0</v>
      </c>
    </row>
    <row r="320" spans="1:4" x14ac:dyDescent="0.25">
      <c r="A320" s="43">
        <v>45992</v>
      </c>
      <c r="B320" t="s">
        <v>115</v>
      </c>
      <c r="C320" t="s">
        <v>48</v>
      </c>
      <c r="D320" s="2">
        <v>0</v>
      </c>
    </row>
    <row r="321" spans="1:4" x14ac:dyDescent="0.25">
      <c r="A321" s="43">
        <v>45689</v>
      </c>
      <c r="B321" t="s">
        <v>116</v>
      </c>
      <c r="C321" t="s">
        <v>50</v>
      </c>
      <c r="D321" s="2">
        <v>0</v>
      </c>
    </row>
    <row r="322" spans="1:4" x14ac:dyDescent="0.25">
      <c r="A322" s="43">
        <v>45717</v>
      </c>
      <c r="B322" t="s">
        <v>116</v>
      </c>
      <c r="C322" t="s">
        <v>50</v>
      </c>
      <c r="D322" s="2">
        <v>1350</v>
      </c>
    </row>
    <row r="323" spans="1:4" x14ac:dyDescent="0.25">
      <c r="A323" s="43">
        <v>45748</v>
      </c>
      <c r="B323" t="s">
        <v>116</v>
      </c>
      <c r="C323" t="s">
        <v>50</v>
      </c>
      <c r="D323" s="2">
        <v>1350</v>
      </c>
    </row>
    <row r="324" spans="1:4" x14ac:dyDescent="0.25">
      <c r="A324" s="43">
        <v>45778</v>
      </c>
      <c r="B324" t="s">
        <v>116</v>
      </c>
      <c r="C324" t="s">
        <v>50</v>
      </c>
      <c r="D324" s="2">
        <v>1350</v>
      </c>
    </row>
    <row r="325" spans="1:4" x14ac:dyDescent="0.25">
      <c r="A325" s="43">
        <v>45809</v>
      </c>
      <c r="B325" t="s">
        <v>116</v>
      </c>
      <c r="C325" t="s">
        <v>50</v>
      </c>
      <c r="D325" s="2">
        <v>1350</v>
      </c>
    </row>
    <row r="326" spans="1:4" x14ac:dyDescent="0.25">
      <c r="A326" s="43">
        <v>45839</v>
      </c>
      <c r="B326" t="s">
        <v>116</v>
      </c>
      <c r="C326" t="s">
        <v>50</v>
      </c>
      <c r="D326" s="2">
        <v>1350</v>
      </c>
    </row>
    <row r="327" spans="1:4" x14ac:dyDescent="0.25">
      <c r="A327" s="43">
        <v>45870</v>
      </c>
      <c r="B327" t="s">
        <v>116</v>
      </c>
      <c r="C327" t="s">
        <v>50</v>
      </c>
      <c r="D327" s="2">
        <v>1350</v>
      </c>
    </row>
    <row r="328" spans="1:4" x14ac:dyDescent="0.25">
      <c r="A328" s="43">
        <v>45901</v>
      </c>
      <c r="B328" t="s">
        <v>116</v>
      </c>
      <c r="C328" t="s">
        <v>50</v>
      </c>
      <c r="D328" s="2">
        <v>1350</v>
      </c>
    </row>
    <row r="329" spans="1:4" x14ac:dyDescent="0.25">
      <c r="A329" s="43">
        <v>45931</v>
      </c>
      <c r="B329" t="s">
        <v>116</v>
      </c>
      <c r="C329" t="s">
        <v>50</v>
      </c>
      <c r="D329" s="2">
        <v>1350</v>
      </c>
    </row>
    <row r="330" spans="1:4" x14ac:dyDescent="0.25">
      <c r="A330" s="43">
        <v>45962</v>
      </c>
      <c r="B330" t="s">
        <v>116</v>
      </c>
      <c r="C330" t="s">
        <v>50</v>
      </c>
      <c r="D330" s="2">
        <v>1350</v>
      </c>
    </row>
    <row r="331" spans="1:4" x14ac:dyDescent="0.25">
      <c r="A331" s="43">
        <v>45992</v>
      </c>
      <c r="B331" t="s">
        <v>116</v>
      </c>
      <c r="C331" t="s">
        <v>50</v>
      </c>
      <c r="D331" s="2">
        <v>2587.5</v>
      </c>
    </row>
    <row r="332" spans="1:4" x14ac:dyDescent="0.25">
      <c r="A332" s="43">
        <v>45689</v>
      </c>
      <c r="B332" t="s">
        <v>116</v>
      </c>
      <c r="C332" t="s">
        <v>52</v>
      </c>
      <c r="D332" s="2">
        <v>0</v>
      </c>
    </row>
    <row r="333" spans="1:4" x14ac:dyDescent="0.25">
      <c r="A333" s="43">
        <v>45717</v>
      </c>
      <c r="B333" t="s">
        <v>116</v>
      </c>
      <c r="C333" t="s">
        <v>52</v>
      </c>
      <c r="D333" s="2">
        <v>1200</v>
      </c>
    </row>
    <row r="334" spans="1:4" x14ac:dyDescent="0.25">
      <c r="A334" s="43">
        <v>45748</v>
      </c>
      <c r="B334" t="s">
        <v>116</v>
      </c>
      <c r="C334" t="s">
        <v>52</v>
      </c>
      <c r="D334" s="2">
        <v>1200</v>
      </c>
    </row>
    <row r="335" spans="1:4" x14ac:dyDescent="0.25">
      <c r="A335" s="43">
        <v>45778</v>
      </c>
      <c r="B335" t="s">
        <v>116</v>
      </c>
      <c r="C335" t="s">
        <v>52</v>
      </c>
      <c r="D335" s="2">
        <v>1200</v>
      </c>
    </row>
    <row r="336" spans="1:4" x14ac:dyDescent="0.25">
      <c r="A336" s="43">
        <v>45809</v>
      </c>
      <c r="B336" t="s">
        <v>116</v>
      </c>
      <c r="C336" t="s">
        <v>52</v>
      </c>
      <c r="D336" s="2">
        <v>1184.75</v>
      </c>
    </row>
    <row r="337" spans="1:4" x14ac:dyDescent="0.25">
      <c r="A337" s="43">
        <v>45839</v>
      </c>
      <c r="B337" t="s">
        <v>116</v>
      </c>
      <c r="C337" t="s">
        <v>52</v>
      </c>
      <c r="D337" s="2">
        <v>1200</v>
      </c>
    </row>
    <row r="338" spans="1:4" x14ac:dyDescent="0.25">
      <c r="A338" s="43">
        <v>45870</v>
      </c>
      <c r="B338" t="s">
        <v>116</v>
      </c>
      <c r="C338" t="s">
        <v>52</v>
      </c>
      <c r="D338" s="2">
        <v>1200</v>
      </c>
    </row>
    <row r="339" spans="1:4" x14ac:dyDescent="0.25">
      <c r="A339" s="43">
        <v>45901</v>
      </c>
      <c r="B339" t="s">
        <v>116</v>
      </c>
      <c r="C339" t="s">
        <v>52</v>
      </c>
      <c r="D339" s="2">
        <v>1200</v>
      </c>
    </row>
    <row r="340" spans="1:4" x14ac:dyDescent="0.25">
      <c r="A340" s="43">
        <v>45931</v>
      </c>
      <c r="B340" t="s">
        <v>116</v>
      </c>
      <c r="C340" t="s">
        <v>52</v>
      </c>
      <c r="D340" s="2">
        <v>1200</v>
      </c>
    </row>
    <row r="341" spans="1:4" x14ac:dyDescent="0.25">
      <c r="A341" s="43">
        <v>45962</v>
      </c>
      <c r="B341" t="s">
        <v>116</v>
      </c>
      <c r="C341" t="s">
        <v>52</v>
      </c>
      <c r="D341" s="2">
        <v>1200</v>
      </c>
    </row>
    <row r="342" spans="1:4" x14ac:dyDescent="0.25">
      <c r="A342" s="43">
        <v>45992</v>
      </c>
      <c r="B342" t="s">
        <v>116</v>
      </c>
      <c r="C342" t="s">
        <v>52</v>
      </c>
      <c r="D342" s="2">
        <v>2300</v>
      </c>
    </row>
    <row r="343" spans="1:4" x14ac:dyDescent="0.25">
      <c r="A343" s="43">
        <v>45689</v>
      </c>
      <c r="B343" t="s">
        <v>116</v>
      </c>
      <c r="C343" t="s">
        <v>40</v>
      </c>
      <c r="D343" s="2">
        <v>0</v>
      </c>
    </row>
    <row r="344" spans="1:4" x14ac:dyDescent="0.25">
      <c r="A344" s="43">
        <v>45717</v>
      </c>
      <c r="B344" t="s">
        <v>116</v>
      </c>
      <c r="C344" t="s">
        <v>40</v>
      </c>
      <c r="D344" s="2">
        <v>0</v>
      </c>
    </row>
    <row r="345" spans="1:4" x14ac:dyDescent="0.25">
      <c r="A345" s="43">
        <v>45748</v>
      </c>
      <c r="B345" t="s">
        <v>116</v>
      </c>
      <c r="C345" t="s">
        <v>40</v>
      </c>
      <c r="D345" s="2">
        <v>1950</v>
      </c>
    </row>
    <row r="346" spans="1:4" x14ac:dyDescent="0.25">
      <c r="A346" s="43">
        <v>45778</v>
      </c>
      <c r="B346" t="s">
        <v>116</v>
      </c>
      <c r="C346" t="s">
        <v>40</v>
      </c>
      <c r="D346" s="2">
        <v>1672.17</v>
      </c>
    </row>
    <row r="347" spans="1:4" x14ac:dyDescent="0.25">
      <c r="A347" s="43">
        <v>45809</v>
      </c>
      <c r="B347" t="s">
        <v>116</v>
      </c>
      <c r="C347" t="s">
        <v>40</v>
      </c>
      <c r="D347" s="2">
        <v>2217.12</v>
      </c>
    </row>
    <row r="348" spans="1:4" x14ac:dyDescent="0.25">
      <c r="A348" s="43">
        <v>45839</v>
      </c>
      <c r="B348" t="s">
        <v>116</v>
      </c>
      <c r="C348" t="s">
        <v>40</v>
      </c>
      <c r="D348" s="2">
        <v>112.12</v>
      </c>
    </row>
    <row r="349" spans="1:4" x14ac:dyDescent="0.25">
      <c r="A349" s="43">
        <v>45870</v>
      </c>
      <c r="B349" t="s">
        <v>116</v>
      </c>
      <c r="C349" t="s">
        <v>40</v>
      </c>
      <c r="D349" s="2">
        <v>712.12</v>
      </c>
    </row>
    <row r="350" spans="1:4" x14ac:dyDescent="0.25">
      <c r="A350" s="43">
        <v>45901</v>
      </c>
      <c r="B350" t="s">
        <v>116</v>
      </c>
      <c r="C350" t="s">
        <v>40</v>
      </c>
      <c r="D350" s="2">
        <v>2612.12</v>
      </c>
    </row>
    <row r="351" spans="1:4" x14ac:dyDescent="0.25">
      <c r="A351" s="43">
        <v>45931</v>
      </c>
      <c r="B351" t="s">
        <v>116</v>
      </c>
      <c r="C351" t="s">
        <v>40</v>
      </c>
      <c r="D351" s="2">
        <v>1012.12</v>
      </c>
    </row>
    <row r="352" spans="1:4" x14ac:dyDescent="0.25">
      <c r="A352" s="43">
        <v>45962</v>
      </c>
      <c r="B352" t="s">
        <v>116</v>
      </c>
      <c r="C352" t="s">
        <v>40</v>
      </c>
      <c r="D352" s="2">
        <v>112.12</v>
      </c>
    </row>
    <row r="353" spans="1:4" x14ac:dyDescent="0.25">
      <c r="A353" s="43">
        <v>45992</v>
      </c>
      <c r="B353" t="s">
        <v>116</v>
      </c>
      <c r="C353" t="s">
        <v>40</v>
      </c>
      <c r="D353" s="2">
        <v>112.12</v>
      </c>
    </row>
    <row r="354" spans="1:4" x14ac:dyDescent="0.25">
      <c r="A354" s="43">
        <v>45689</v>
      </c>
      <c r="B354" t="s">
        <v>116</v>
      </c>
      <c r="C354" t="s">
        <v>65</v>
      </c>
      <c r="D354" s="2">
        <v>20</v>
      </c>
    </row>
    <row r="355" spans="1:4" x14ac:dyDescent="0.25">
      <c r="A355" s="43">
        <v>45717</v>
      </c>
      <c r="B355" t="s">
        <v>116</v>
      </c>
      <c r="C355" t="s">
        <v>65</v>
      </c>
      <c r="D355" s="2">
        <v>20</v>
      </c>
    </row>
    <row r="356" spans="1:4" x14ac:dyDescent="0.25">
      <c r="A356" s="43">
        <v>45748</v>
      </c>
      <c r="B356" t="s">
        <v>116</v>
      </c>
      <c r="C356" t="s">
        <v>65</v>
      </c>
      <c r="D356" s="2">
        <v>2900</v>
      </c>
    </row>
    <row r="357" spans="1:4" x14ac:dyDescent="0.25">
      <c r="A357" s="43">
        <v>45778</v>
      </c>
      <c r="B357" t="s">
        <v>116</v>
      </c>
      <c r="C357" t="s">
        <v>65</v>
      </c>
      <c r="D357" s="2">
        <v>418.32</v>
      </c>
    </row>
    <row r="358" spans="1:4" x14ac:dyDescent="0.25">
      <c r="A358" s="43">
        <v>45809</v>
      </c>
      <c r="B358" t="s">
        <v>116</v>
      </c>
      <c r="C358" t="s">
        <v>65</v>
      </c>
      <c r="D358" s="2">
        <v>1750.4</v>
      </c>
    </row>
    <row r="359" spans="1:4" x14ac:dyDescent="0.25">
      <c r="A359" s="43">
        <v>45839</v>
      </c>
      <c r="B359" t="s">
        <v>116</v>
      </c>
      <c r="C359" t="s">
        <v>65</v>
      </c>
      <c r="D359" s="2">
        <v>989.42</v>
      </c>
    </row>
    <row r="360" spans="1:4" x14ac:dyDescent="0.25">
      <c r="A360" s="43">
        <v>45870</v>
      </c>
      <c r="B360" t="s">
        <v>116</v>
      </c>
      <c r="C360" t="s">
        <v>65</v>
      </c>
      <c r="D360" s="2">
        <v>380.39</v>
      </c>
    </row>
    <row r="361" spans="1:4" x14ac:dyDescent="0.25">
      <c r="A361" s="43">
        <v>45901</v>
      </c>
      <c r="B361" t="s">
        <v>116</v>
      </c>
      <c r="C361" t="s">
        <v>65</v>
      </c>
      <c r="D361" s="2">
        <v>10</v>
      </c>
    </row>
    <row r="362" spans="1:4" x14ac:dyDescent="0.25">
      <c r="A362" s="43">
        <v>45931</v>
      </c>
      <c r="B362" t="s">
        <v>116</v>
      </c>
      <c r="C362" t="s">
        <v>65</v>
      </c>
      <c r="D362" s="2">
        <v>1072.3499999999999</v>
      </c>
    </row>
    <row r="363" spans="1:4" x14ac:dyDescent="0.25">
      <c r="A363" s="43">
        <v>45962</v>
      </c>
      <c r="B363" t="s">
        <v>116</v>
      </c>
      <c r="C363" t="s">
        <v>65</v>
      </c>
      <c r="D363" s="2">
        <v>0</v>
      </c>
    </row>
    <row r="364" spans="1:4" x14ac:dyDescent="0.25">
      <c r="A364" s="43">
        <v>45992</v>
      </c>
      <c r="B364" t="s">
        <v>116</v>
      </c>
      <c r="C364" t="s">
        <v>65</v>
      </c>
      <c r="D364" s="2">
        <v>0</v>
      </c>
    </row>
    <row r="365" spans="1:4" x14ac:dyDescent="0.25">
      <c r="A365" s="43">
        <v>45689</v>
      </c>
      <c r="B365" t="s">
        <v>116</v>
      </c>
      <c r="C365" t="s">
        <v>49</v>
      </c>
      <c r="D365" s="2">
        <v>0</v>
      </c>
    </row>
    <row r="366" spans="1:4" x14ac:dyDescent="0.25">
      <c r="A366" s="43">
        <v>45717</v>
      </c>
      <c r="B366" t="s">
        <v>116</v>
      </c>
      <c r="C366" t="s">
        <v>49</v>
      </c>
      <c r="D366" s="2">
        <v>500</v>
      </c>
    </row>
    <row r="367" spans="1:4" x14ac:dyDescent="0.25">
      <c r="A367" s="43">
        <v>45748</v>
      </c>
      <c r="B367" t="s">
        <v>116</v>
      </c>
      <c r="C367" t="s">
        <v>49</v>
      </c>
      <c r="D367" s="2">
        <v>500</v>
      </c>
    </row>
    <row r="368" spans="1:4" x14ac:dyDescent="0.25">
      <c r="A368" s="43">
        <v>45778</v>
      </c>
      <c r="B368" t="s">
        <v>116</v>
      </c>
      <c r="C368" t="s">
        <v>49</v>
      </c>
      <c r="D368" s="2">
        <v>500</v>
      </c>
    </row>
    <row r="369" spans="1:4" x14ac:dyDescent="0.25">
      <c r="A369" s="43">
        <v>45809</v>
      </c>
      <c r="B369" t="s">
        <v>116</v>
      </c>
      <c r="C369" t="s">
        <v>49</v>
      </c>
      <c r="D369" s="2">
        <v>500</v>
      </c>
    </row>
    <row r="370" spans="1:4" x14ac:dyDescent="0.25">
      <c r="A370" s="43">
        <v>45839</v>
      </c>
      <c r="B370" t="s">
        <v>116</v>
      </c>
      <c r="C370" t="s">
        <v>49</v>
      </c>
      <c r="D370" s="2">
        <v>500</v>
      </c>
    </row>
    <row r="371" spans="1:4" x14ac:dyDescent="0.25">
      <c r="A371" s="43">
        <v>45870</v>
      </c>
      <c r="B371" t="s">
        <v>116</v>
      </c>
      <c r="C371" t="s">
        <v>49</v>
      </c>
      <c r="D371" s="2">
        <v>500</v>
      </c>
    </row>
    <row r="372" spans="1:4" x14ac:dyDescent="0.25">
      <c r="A372" s="43">
        <v>45901</v>
      </c>
      <c r="B372" t="s">
        <v>116</v>
      </c>
      <c r="C372" t="s">
        <v>49</v>
      </c>
      <c r="D372" s="2">
        <v>500</v>
      </c>
    </row>
    <row r="373" spans="1:4" x14ac:dyDescent="0.25">
      <c r="A373" s="43">
        <v>45931</v>
      </c>
      <c r="B373" t="s">
        <v>116</v>
      </c>
      <c r="C373" t="s">
        <v>49</v>
      </c>
      <c r="D373" s="2">
        <v>900</v>
      </c>
    </row>
    <row r="374" spans="1:4" x14ac:dyDescent="0.25">
      <c r="A374" s="43">
        <v>45962</v>
      </c>
      <c r="B374" t="s">
        <v>116</v>
      </c>
      <c r="C374" t="s">
        <v>49</v>
      </c>
      <c r="D374" s="2">
        <v>900</v>
      </c>
    </row>
    <row r="375" spans="1:4" x14ac:dyDescent="0.25">
      <c r="A375" s="43">
        <v>45992</v>
      </c>
      <c r="B375" t="s">
        <v>116</v>
      </c>
      <c r="C375" t="s">
        <v>49</v>
      </c>
      <c r="D375" s="2">
        <v>900</v>
      </c>
    </row>
    <row r="376" spans="1:4" x14ac:dyDescent="0.25">
      <c r="A376" s="43">
        <v>45689</v>
      </c>
      <c r="B376" t="s">
        <v>116</v>
      </c>
      <c r="C376" t="s">
        <v>51</v>
      </c>
      <c r="D376" s="2">
        <v>0</v>
      </c>
    </row>
    <row r="377" spans="1:4" x14ac:dyDescent="0.25">
      <c r="A377" s="43">
        <v>45717</v>
      </c>
      <c r="B377" t="s">
        <v>116</v>
      </c>
      <c r="C377" t="s">
        <v>51</v>
      </c>
      <c r="D377" s="2">
        <v>611.24</v>
      </c>
    </row>
    <row r="378" spans="1:4" x14ac:dyDescent="0.25">
      <c r="A378" s="43">
        <v>45748</v>
      </c>
      <c r="B378" t="s">
        <v>116</v>
      </c>
      <c r="C378" t="s">
        <v>51</v>
      </c>
      <c r="D378" s="2">
        <v>403.2</v>
      </c>
    </row>
    <row r="379" spans="1:4" x14ac:dyDescent="0.25">
      <c r="A379" s="43">
        <v>45778</v>
      </c>
      <c r="B379" t="s">
        <v>116</v>
      </c>
      <c r="C379" t="s">
        <v>51</v>
      </c>
      <c r="D379" s="2">
        <v>384.53</v>
      </c>
    </row>
    <row r="380" spans="1:4" x14ac:dyDescent="0.25">
      <c r="A380" s="43">
        <v>45809</v>
      </c>
      <c r="B380" t="s">
        <v>116</v>
      </c>
      <c r="C380" t="s">
        <v>51</v>
      </c>
      <c r="D380" s="2">
        <v>206.19</v>
      </c>
    </row>
    <row r="381" spans="1:4" x14ac:dyDescent="0.25">
      <c r="A381" s="43">
        <v>45839</v>
      </c>
      <c r="B381" t="s">
        <v>116</v>
      </c>
      <c r="C381" t="s">
        <v>51</v>
      </c>
      <c r="D381" s="2">
        <v>187.78</v>
      </c>
    </row>
    <row r="382" spans="1:4" x14ac:dyDescent="0.25">
      <c r="A382" s="43">
        <v>45870</v>
      </c>
      <c r="B382" t="s">
        <v>116</v>
      </c>
      <c r="C382" t="s">
        <v>51</v>
      </c>
      <c r="D382" s="2">
        <v>295.62</v>
      </c>
    </row>
    <row r="383" spans="1:4" x14ac:dyDescent="0.25">
      <c r="A383" s="43">
        <v>45901</v>
      </c>
      <c r="B383" t="s">
        <v>116</v>
      </c>
      <c r="C383" t="s">
        <v>51</v>
      </c>
      <c r="D383" s="2">
        <v>0</v>
      </c>
    </row>
    <row r="384" spans="1:4" x14ac:dyDescent="0.25">
      <c r="A384" s="43">
        <v>45931</v>
      </c>
      <c r="B384" t="s">
        <v>116</v>
      </c>
      <c r="C384" t="s">
        <v>51</v>
      </c>
      <c r="D384" s="2">
        <v>773.28</v>
      </c>
    </row>
    <row r="385" spans="1:4" x14ac:dyDescent="0.25">
      <c r="A385" s="43">
        <v>45962</v>
      </c>
      <c r="B385" t="s">
        <v>116</v>
      </c>
      <c r="C385" t="s">
        <v>51</v>
      </c>
      <c r="D385" s="2">
        <v>821.98</v>
      </c>
    </row>
    <row r="386" spans="1:4" x14ac:dyDescent="0.25">
      <c r="A386" s="43">
        <v>45992</v>
      </c>
      <c r="B386" t="s">
        <v>116</v>
      </c>
      <c r="C386" t="s">
        <v>51</v>
      </c>
      <c r="D386" s="2">
        <v>0</v>
      </c>
    </row>
    <row r="387" spans="1:4" x14ac:dyDescent="0.25">
      <c r="A387" s="43">
        <v>45689</v>
      </c>
      <c r="B387" t="s">
        <v>116</v>
      </c>
      <c r="C387" t="s">
        <v>69</v>
      </c>
      <c r="D387" s="2">
        <v>58.62</v>
      </c>
    </row>
    <row r="388" spans="1:4" x14ac:dyDescent="0.25">
      <c r="A388" s="43">
        <v>45717</v>
      </c>
      <c r="B388" t="s">
        <v>116</v>
      </c>
      <c r="C388" t="s">
        <v>69</v>
      </c>
      <c r="D388" s="2">
        <v>0</v>
      </c>
    </row>
    <row r="389" spans="1:4" x14ac:dyDescent="0.25">
      <c r="A389" s="43">
        <v>45748</v>
      </c>
      <c r="B389" t="s">
        <v>116</v>
      </c>
      <c r="C389" t="s">
        <v>69</v>
      </c>
      <c r="D389" s="2">
        <v>2955</v>
      </c>
    </row>
    <row r="390" spans="1:4" x14ac:dyDescent="0.25">
      <c r="A390" s="43">
        <v>45778</v>
      </c>
      <c r="B390" t="s">
        <v>116</v>
      </c>
      <c r="C390" t="s">
        <v>69</v>
      </c>
      <c r="D390" s="2">
        <v>0</v>
      </c>
    </row>
    <row r="391" spans="1:4" x14ac:dyDescent="0.25">
      <c r="A391" s="43">
        <v>45809</v>
      </c>
      <c r="B391" t="s">
        <v>116</v>
      </c>
      <c r="C391" t="s">
        <v>69</v>
      </c>
      <c r="D391" s="2">
        <v>0</v>
      </c>
    </row>
    <row r="392" spans="1:4" x14ac:dyDescent="0.25">
      <c r="A392" s="43">
        <v>45839</v>
      </c>
      <c r="B392" t="s">
        <v>116</v>
      </c>
      <c r="C392" t="s">
        <v>69</v>
      </c>
      <c r="D392" s="2">
        <v>0</v>
      </c>
    </row>
    <row r="393" spans="1:4" x14ac:dyDescent="0.25">
      <c r="A393" s="43">
        <v>45870</v>
      </c>
      <c r="B393" t="s">
        <v>116</v>
      </c>
      <c r="C393" t="s">
        <v>69</v>
      </c>
      <c r="D393" s="2">
        <v>0</v>
      </c>
    </row>
    <row r="394" spans="1:4" x14ac:dyDescent="0.25">
      <c r="A394" s="43">
        <v>45901</v>
      </c>
      <c r="B394" t="s">
        <v>116</v>
      </c>
      <c r="C394" t="s">
        <v>69</v>
      </c>
      <c r="D394" s="2">
        <v>11.9</v>
      </c>
    </row>
    <row r="395" spans="1:4" x14ac:dyDescent="0.25">
      <c r="A395" s="43">
        <v>45931</v>
      </c>
      <c r="B395" t="s">
        <v>116</v>
      </c>
      <c r="C395" t="s">
        <v>69</v>
      </c>
      <c r="D395" s="2">
        <v>403.32</v>
      </c>
    </row>
    <row r="396" spans="1:4" x14ac:dyDescent="0.25">
      <c r="A396" s="43">
        <v>45962</v>
      </c>
      <c r="B396" t="s">
        <v>116</v>
      </c>
      <c r="C396" t="s">
        <v>69</v>
      </c>
      <c r="D396" s="2">
        <v>0</v>
      </c>
    </row>
    <row r="397" spans="1:4" x14ac:dyDescent="0.25">
      <c r="A397" s="43">
        <v>45992</v>
      </c>
      <c r="B397" t="s">
        <v>116</v>
      </c>
      <c r="C397" t="s">
        <v>69</v>
      </c>
      <c r="D397" s="2">
        <v>0</v>
      </c>
    </row>
    <row r="398" spans="1:4" x14ac:dyDescent="0.25">
      <c r="A398" s="43">
        <v>45689</v>
      </c>
      <c r="B398" t="s">
        <v>116</v>
      </c>
      <c r="C398" t="s">
        <v>53</v>
      </c>
      <c r="D398" s="2">
        <v>0</v>
      </c>
    </row>
    <row r="399" spans="1:4" x14ac:dyDescent="0.25">
      <c r="A399" s="43">
        <v>45717</v>
      </c>
      <c r="B399" t="s">
        <v>116</v>
      </c>
      <c r="C399" t="s">
        <v>53</v>
      </c>
      <c r="D399" s="2">
        <v>107.14</v>
      </c>
    </row>
    <row r="400" spans="1:4" x14ac:dyDescent="0.25">
      <c r="A400" s="43">
        <v>45748</v>
      </c>
      <c r="B400" t="s">
        <v>116</v>
      </c>
      <c r="C400" t="s">
        <v>53</v>
      </c>
      <c r="D400" s="2">
        <v>200</v>
      </c>
    </row>
    <row r="401" spans="1:4" x14ac:dyDescent="0.25">
      <c r="A401" s="43">
        <v>45778</v>
      </c>
      <c r="B401" t="s">
        <v>116</v>
      </c>
      <c r="C401" t="s">
        <v>53</v>
      </c>
      <c r="D401" s="2">
        <v>200</v>
      </c>
    </row>
    <row r="402" spans="1:4" x14ac:dyDescent="0.25">
      <c r="A402" s="43">
        <v>45809</v>
      </c>
      <c r="B402" t="s">
        <v>116</v>
      </c>
      <c r="C402" t="s">
        <v>53</v>
      </c>
      <c r="D402" s="2">
        <v>197.46</v>
      </c>
    </row>
    <row r="403" spans="1:4" x14ac:dyDescent="0.25">
      <c r="A403" s="43">
        <v>45839</v>
      </c>
      <c r="B403" t="s">
        <v>116</v>
      </c>
      <c r="C403" t="s">
        <v>53</v>
      </c>
      <c r="D403" s="2">
        <v>200</v>
      </c>
    </row>
    <row r="404" spans="1:4" x14ac:dyDescent="0.25">
      <c r="A404" s="43">
        <v>45870</v>
      </c>
      <c r="B404" t="s">
        <v>116</v>
      </c>
      <c r="C404" t="s">
        <v>53</v>
      </c>
      <c r="D404" s="2">
        <v>200</v>
      </c>
    </row>
    <row r="405" spans="1:4" x14ac:dyDescent="0.25">
      <c r="A405" s="43">
        <v>45901</v>
      </c>
      <c r="B405" t="s">
        <v>116</v>
      </c>
      <c r="C405" t="s">
        <v>53</v>
      </c>
      <c r="D405" s="2">
        <v>200</v>
      </c>
    </row>
    <row r="406" spans="1:4" x14ac:dyDescent="0.25">
      <c r="A406" s="43">
        <v>45931</v>
      </c>
      <c r="B406" t="s">
        <v>116</v>
      </c>
      <c r="C406" t="s">
        <v>53</v>
      </c>
      <c r="D406" s="2">
        <v>200</v>
      </c>
    </row>
    <row r="407" spans="1:4" x14ac:dyDescent="0.25">
      <c r="A407" s="43">
        <v>45962</v>
      </c>
      <c r="B407" t="s">
        <v>116</v>
      </c>
      <c r="C407" t="s">
        <v>53</v>
      </c>
      <c r="D407" s="2">
        <v>200</v>
      </c>
    </row>
    <row r="408" spans="1:4" x14ac:dyDescent="0.25">
      <c r="A408" s="43">
        <v>45992</v>
      </c>
      <c r="B408" t="s">
        <v>116</v>
      </c>
      <c r="C408" t="s">
        <v>53</v>
      </c>
      <c r="D408" s="2">
        <v>200</v>
      </c>
    </row>
    <row r="409" spans="1:4" x14ac:dyDescent="0.25">
      <c r="A409" s="43">
        <v>45689</v>
      </c>
      <c r="B409" t="s">
        <v>116</v>
      </c>
      <c r="C409" t="s">
        <v>57</v>
      </c>
      <c r="D409" s="2">
        <v>0</v>
      </c>
    </row>
    <row r="410" spans="1:4" x14ac:dyDescent="0.25">
      <c r="A410" s="43">
        <v>45717</v>
      </c>
      <c r="B410" t="s">
        <v>116</v>
      </c>
      <c r="C410" t="s">
        <v>57</v>
      </c>
      <c r="D410" s="2">
        <v>0</v>
      </c>
    </row>
    <row r="411" spans="1:4" x14ac:dyDescent="0.25">
      <c r="A411" s="43">
        <v>45748</v>
      </c>
      <c r="B411" t="s">
        <v>116</v>
      </c>
      <c r="C411" t="s">
        <v>57</v>
      </c>
      <c r="D411" s="2">
        <v>166.98</v>
      </c>
    </row>
    <row r="412" spans="1:4" x14ac:dyDescent="0.25">
      <c r="A412" s="43">
        <v>45778</v>
      </c>
      <c r="B412" t="s">
        <v>116</v>
      </c>
      <c r="C412" t="s">
        <v>57</v>
      </c>
      <c r="D412" s="2">
        <v>166.98</v>
      </c>
    </row>
    <row r="413" spans="1:4" x14ac:dyDescent="0.25">
      <c r="A413" s="43">
        <v>45809</v>
      </c>
      <c r="B413" t="s">
        <v>116</v>
      </c>
      <c r="C413" t="s">
        <v>57</v>
      </c>
      <c r="D413" s="2">
        <v>166.98</v>
      </c>
    </row>
    <row r="414" spans="1:4" x14ac:dyDescent="0.25">
      <c r="A414" s="43">
        <v>45839</v>
      </c>
      <c r="B414" t="s">
        <v>116</v>
      </c>
      <c r="C414" t="s">
        <v>57</v>
      </c>
      <c r="D414" s="2">
        <v>166.98</v>
      </c>
    </row>
    <row r="415" spans="1:4" x14ac:dyDescent="0.25">
      <c r="A415" s="43">
        <v>45870</v>
      </c>
      <c r="B415" t="s">
        <v>116</v>
      </c>
      <c r="C415" t="s">
        <v>57</v>
      </c>
      <c r="D415" s="2">
        <v>166.98</v>
      </c>
    </row>
    <row r="416" spans="1:4" x14ac:dyDescent="0.25">
      <c r="A416" s="43">
        <v>45901</v>
      </c>
      <c r="B416" t="s">
        <v>116</v>
      </c>
      <c r="C416" t="s">
        <v>57</v>
      </c>
      <c r="D416" s="2">
        <v>166.98</v>
      </c>
    </row>
    <row r="417" spans="1:4" x14ac:dyDescent="0.25">
      <c r="A417" s="43">
        <v>45931</v>
      </c>
      <c r="B417" t="s">
        <v>116</v>
      </c>
      <c r="C417" t="s">
        <v>57</v>
      </c>
      <c r="D417" s="2">
        <v>166.98</v>
      </c>
    </row>
    <row r="418" spans="1:4" x14ac:dyDescent="0.25">
      <c r="A418" s="43">
        <v>45962</v>
      </c>
      <c r="B418" t="s">
        <v>116</v>
      </c>
      <c r="C418" t="s">
        <v>57</v>
      </c>
      <c r="D418" s="2">
        <v>166.98</v>
      </c>
    </row>
    <row r="419" spans="1:4" x14ac:dyDescent="0.25">
      <c r="A419" s="43">
        <v>45992</v>
      </c>
      <c r="B419" t="s">
        <v>116</v>
      </c>
      <c r="C419" t="s">
        <v>57</v>
      </c>
      <c r="D419" s="2">
        <v>166.98</v>
      </c>
    </row>
    <row r="420" spans="1:4" x14ac:dyDescent="0.25">
      <c r="A420" s="43">
        <v>45689</v>
      </c>
      <c r="B420" t="s">
        <v>116</v>
      </c>
      <c r="C420" t="s">
        <v>54</v>
      </c>
      <c r="D420" s="2">
        <v>132.16999999999999</v>
      </c>
    </row>
    <row r="421" spans="1:4" x14ac:dyDescent="0.25">
      <c r="A421" s="43">
        <v>45717</v>
      </c>
      <c r="B421" t="s">
        <v>116</v>
      </c>
      <c r="C421" t="s">
        <v>54</v>
      </c>
      <c r="D421" s="2">
        <v>131.83000000000001</v>
      </c>
    </row>
    <row r="422" spans="1:4" x14ac:dyDescent="0.25">
      <c r="A422" s="43">
        <v>45748</v>
      </c>
      <c r="B422" t="s">
        <v>116</v>
      </c>
      <c r="C422" t="s">
        <v>54</v>
      </c>
      <c r="D422" s="2">
        <v>129</v>
      </c>
    </row>
    <row r="423" spans="1:4" x14ac:dyDescent="0.25">
      <c r="A423" s="43">
        <v>45778</v>
      </c>
      <c r="B423" t="s">
        <v>116</v>
      </c>
      <c r="C423" t="s">
        <v>54</v>
      </c>
      <c r="D423" s="2">
        <v>129</v>
      </c>
    </row>
    <row r="424" spans="1:4" x14ac:dyDescent="0.25">
      <c r="A424" s="43">
        <v>45809</v>
      </c>
      <c r="B424" t="s">
        <v>116</v>
      </c>
      <c r="C424" t="s">
        <v>54</v>
      </c>
      <c r="D424" s="2">
        <v>129</v>
      </c>
    </row>
    <row r="425" spans="1:4" x14ac:dyDescent="0.25">
      <c r="A425" s="43">
        <v>45839</v>
      </c>
      <c r="B425" t="s">
        <v>116</v>
      </c>
      <c r="C425" t="s">
        <v>54</v>
      </c>
      <c r="D425" s="2">
        <v>129</v>
      </c>
    </row>
    <row r="426" spans="1:4" x14ac:dyDescent="0.25">
      <c r="A426" s="43">
        <v>45870</v>
      </c>
      <c r="B426" t="s">
        <v>116</v>
      </c>
      <c r="C426" t="s">
        <v>54</v>
      </c>
      <c r="D426" s="2">
        <v>131.62</v>
      </c>
    </row>
    <row r="427" spans="1:4" x14ac:dyDescent="0.25">
      <c r="A427" s="43">
        <v>45901</v>
      </c>
      <c r="B427" t="s">
        <v>116</v>
      </c>
      <c r="C427" t="s">
        <v>54</v>
      </c>
      <c r="D427" s="2">
        <v>129</v>
      </c>
    </row>
    <row r="428" spans="1:4" x14ac:dyDescent="0.25">
      <c r="A428" s="43">
        <v>45931</v>
      </c>
      <c r="B428" t="s">
        <v>116</v>
      </c>
      <c r="C428" t="s">
        <v>54</v>
      </c>
      <c r="D428" s="2">
        <v>129</v>
      </c>
    </row>
    <row r="429" spans="1:4" x14ac:dyDescent="0.25">
      <c r="A429" s="43">
        <v>45962</v>
      </c>
      <c r="B429" t="s">
        <v>116</v>
      </c>
      <c r="C429" t="s">
        <v>54</v>
      </c>
      <c r="D429" s="2">
        <v>129</v>
      </c>
    </row>
    <row r="430" spans="1:4" x14ac:dyDescent="0.25">
      <c r="A430" s="43">
        <v>45992</v>
      </c>
      <c r="B430" t="s">
        <v>116</v>
      </c>
      <c r="C430" t="s">
        <v>54</v>
      </c>
      <c r="D430" s="2">
        <v>129</v>
      </c>
    </row>
    <row r="431" spans="1:4" x14ac:dyDescent="0.25">
      <c r="A431" s="43">
        <v>45689</v>
      </c>
      <c r="B431" t="s">
        <v>116</v>
      </c>
      <c r="C431" t="s">
        <v>70</v>
      </c>
      <c r="D431" s="2">
        <v>0</v>
      </c>
    </row>
    <row r="432" spans="1:4" x14ac:dyDescent="0.25">
      <c r="A432" s="43">
        <v>45717</v>
      </c>
      <c r="B432" t="s">
        <v>116</v>
      </c>
      <c r="C432" t="s">
        <v>70</v>
      </c>
      <c r="D432" s="2">
        <v>0</v>
      </c>
    </row>
    <row r="433" spans="1:4" x14ac:dyDescent="0.25">
      <c r="A433" s="43">
        <v>45748</v>
      </c>
      <c r="B433" t="s">
        <v>116</v>
      </c>
      <c r="C433" t="s">
        <v>70</v>
      </c>
      <c r="D433" s="2">
        <v>0</v>
      </c>
    </row>
    <row r="434" spans="1:4" x14ac:dyDescent="0.25">
      <c r="A434" s="43">
        <v>45778</v>
      </c>
      <c r="B434" t="s">
        <v>116</v>
      </c>
      <c r="C434" t="s">
        <v>70</v>
      </c>
      <c r="D434" s="2">
        <v>0</v>
      </c>
    </row>
    <row r="435" spans="1:4" x14ac:dyDescent="0.25">
      <c r="A435" s="43">
        <v>45809</v>
      </c>
      <c r="B435" t="s">
        <v>116</v>
      </c>
      <c r="C435" t="s">
        <v>70</v>
      </c>
      <c r="D435" s="2">
        <v>0</v>
      </c>
    </row>
    <row r="436" spans="1:4" x14ac:dyDescent="0.25">
      <c r="A436" s="43">
        <v>45839</v>
      </c>
      <c r="B436" t="s">
        <v>116</v>
      </c>
      <c r="C436" t="s">
        <v>70</v>
      </c>
      <c r="D436" s="2">
        <v>0</v>
      </c>
    </row>
    <row r="437" spans="1:4" x14ac:dyDescent="0.25">
      <c r="A437" s="43">
        <v>45870</v>
      </c>
      <c r="B437" t="s">
        <v>116</v>
      </c>
      <c r="C437" t="s">
        <v>70</v>
      </c>
      <c r="D437" s="2">
        <v>0</v>
      </c>
    </row>
    <row r="438" spans="1:4" x14ac:dyDescent="0.25">
      <c r="A438" s="43">
        <v>45901</v>
      </c>
      <c r="B438" t="s">
        <v>116</v>
      </c>
      <c r="C438" t="s">
        <v>70</v>
      </c>
      <c r="D438" s="2">
        <v>0</v>
      </c>
    </row>
    <row r="439" spans="1:4" x14ac:dyDescent="0.25">
      <c r="A439" s="43">
        <v>45931</v>
      </c>
      <c r="B439" t="s">
        <v>116</v>
      </c>
      <c r="C439" t="s">
        <v>70</v>
      </c>
      <c r="D439" s="2">
        <v>328.56</v>
      </c>
    </row>
    <row r="440" spans="1:4" x14ac:dyDescent="0.25">
      <c r="A440" s="43">
        <v>45962</v>
      </c>
      <c r="B440" t="s">
        <v>116</v>
      </c>
      <c r="C440" t="s">
        <v>70</v>
      </c>
      <c r="D440" s="2">
        <v>261.39999999999998</v>
      </c>
    </row>
    <row r="441" spans="1:4" x14ac:dyDescent="0.25">
      <c r="A441" s="43">
        <v>45992</v>
      </c>
      <c r="B441" t="s">
        <v>116</v>
      </c>
      <c r="C441" t="s">
        <v>70</v>
      </c>
      <c r="D441" s="2">
        <v>261.39999999999998</v>
      </c>
    </row>
    <row r="442" spans="1:4" x14ac:dyDescent="0.25">
      <c r="A442" s="43">
        <v>45689</v>
      </c>
      <c r="B442" t="s">
        <v>116</v>
      </c>
      <c r="C442" t="s">
        <v>55</v>
      </c>
      <c r="D442" s="2">
        <v>0</v>
      </c>
    </row>
    <row r="443" spans="1:4" x14ac:dyDescent="0.25">
      <c r="A443" s="43">
        <v>45717</v>
      </c>
      <c r="B443" t="s">
        <v>116</v>
      </c>
      <c r="C443" t="s">
        <v>55</v>
      </c>
      <c r="D443" s="2">
        <v>0</v>
      </c>
    </row>
    <row r="444" spans="1:4" x14ac:dyDescent="0.25">
      <c r="A444" s="43">
        <v>45748</v>
      </c>
      <c r="B444" t="s">
        <v>116</v>
      </c>
      <c r="C444" t="s">
        <v>55</v>
      </c>
      <c r="D444" s="2">
        <v>277.89999999999998</v>
      </c>
    </row>
    <row r="445" spans="1:4" x14ac:dyDescent="0.25">
      <c r="A445" s="43">
        <v>45778</v>
      </c>
      <c r="B445" t="s">
        <v>116</v>
      </c>
      <c r="C445" t="s">
        <v>55</v>
      </c>
      <c r="D445" s="2">
        <v>0</v>
      </c>
    </row>
    <row r="446" spans="1:4" x14ac:dyDescent="0.25">
      <c r="A446" s="43">
        <v>45809</v>
      </c>
      <c r="B446" t="s">
        <v>116</v>
      </c>
      <c r="C446" t="s">
        <v>55</v>
      </c>
      <c r="D446" s="2">
        <v>0</v>
      </c>
    </row>
    <row r="447" spans="1:4" x14ac:dyDescent="0.25">
      <c r="A447" s="43">
        <v>45839</v>
      </c>
      <c r="B447" t="s">
        <v>116</v>
      </c>
      <c r="C447" t="s">
        <v>55</v>
      </c>
      <c r="D447" s="2">
        <v>0</v>
      </c>
    </row>
    <row r="448" spans="1:4" x14ac:dyDescent="0.25">
      <c r="A448" s="43">
        <v>45870</v>
      </c>
      <c r="B448" t="s">
        <v>116</v>
      </c>
      <c r="C448" t="s">
        <v>55</v>
      </c>
      <c r="D448" s="2">
        <v>274</v>
      </c>
    </row>
    <row r="449" spans="1:4" x14ac:dyDescent="0.25">
      <c r="A449" s="43">
        <v>45901</v>
      </c>
      <c r="B449" t="s">
        <v>116</v>
      </c>
      <c r="C449" t="s">
        <v>55</v>
      </c>
      <c r="D449" s="2">
        <v>29.68</v>
      </c>
    </row>
    <row r="450" spans="1:4" x14ac:dyDescent="0.25">
      <c r="A450" s="43">
        <v>45931</v>
      </c>
      <c r="B450" t="s">
        <v>116</v>
      </c>
      <c r="C450" t="s">
        <v>55</v>
      </c>
      <c r="D450" s="2">
        <v>29.67</v>
      </c>
    </row>
    <row r="451" spans="1:4" x14ac:dyDescent="0.25">
      <c r="A451" s="43">
        <v>45962</v>
      </c>
      <c r="B451" t="s">
        <v>116</v>
      </c>
      <c r="C451" t="s">
        <v>55</v>
      </c>
      <c r="D451" s="2">
        <v>0</v>
      </c>
    </row>
    <row r="452" spans="1:4" x14ac:dyDescent="0.25">
      <c r="A452" s="43">
        <v>45992</v>
      </c>
      <c r="B452" t="s">
        <v>116</v>
      </c>
      <c r="C452" t="s">
        <v>55</v>
      </c>
      <c r="D452" s="2">
        <v>0</v>
      </c>
    </row>
    <row r="453" spans="1:4" x14ac:dyDescent="0.25">
      <c r="A453" s="43">
        <v>45689</v>
      </c>
      <c r="B453" t="s">
        <v>116</v>
      </c>
      <c r="C453" t="s">
        <v>44</v>
      </c>
      <c r="D453" s="2">
        <v>0</v>
      </c>
    </row>
    <row r="454" spans="1:4" x14ac:dyDescent="0.25">
      <c r="A454" s="43">
        <v>45717</v>
      </c>
      <c r="B454" t="s">
        <v>116</v>
      </c>
      <c r="C454" t="s">
        <v>44</v>
      </c>
      <c r="D454" s="2">
        <v>0</v>
      </c>
    </row>
    <row r="455" spans="1:4" x14ac:dyDescent="0.25">
      <c r="A455" s="43">
        <v>45748</v>
      </c>
      <c r="B455" t="s">
        <v>116</v>
      </c>
      <c r="C455" t="s">
        <v>44</v>
      </c>
      <c r="D455" s="2">
        <v>100</v>
      </c>
    </row>
    <row r="456" spans="1:4" x14ac:dyDescent="0.25">
      <c r="A456" s="43">
        <v>45778</v>
      </c>
      <c r="B456" t="s">
        <v>116</v>
      </c>
      <c r="C456" t="s">
        <v>44</v>
      </c>
      <c r="D456" s="2">
        <v>180</v>
      </c>
    </row>
    <row r="457" spans="1:4" x14ac:dyDescent="0.25">
      <c r="A457" s="43">
        <v>45809</v>
      </c>
      <c r="B457" t="s">
        <v>116</v>
      </c>
      <c r="C457" t="s">
        <v>44</v>
      </c>
      <c r="D457" s="2">
        <v>0</v>
      </c>
    </row>
    <row r="458" spans="1:4" x14ac:dyDescent="0.25">
      <c r="A458" s="43">
        <v>45839</v>
      </c>
      <c r="B458" t="s">
        <v>116</v>
      </c>
      <c r="C458" t="s">
        <v>44</v>
      </c>
      <c r="D458" s="2">
        <v>0</v>
      </c>
    </row>
    <row r="459" spans="1:4" x14ac:dyDescent="0.25">
      <c r="A459" s="43">
        <v>45870</v>
      </c>
      <c r="B459" t="s">
        <v>116</v>
      </c>
      <c r="C459" t="s">
        <v>44</v>
      </c>
      <c r="D459" s="2">
        <v>0</v>
      </c>
    </row>
    <row r="460" spans="1:4" x14ac:dyDescent="0.25">
      <c r="A460" s="43">
        <v>45901</v>
      </c>
      <c r="B460" t="s">
        <v>116</v>
      </c>
      <c r="C460" t="s">
        <v>44</v>
      </c>
      <c r="D460" s="2">
        <v>0</v>
      </c>
    </row>
    <row r="461" spans="1:4" x14ac:dyDescent="0.25">
      <c r="A461" s="43">
        <v>45931</v>
      </c>
      <c r="B461" t="s">
        <v>116</v>
      </c>
      <c r="C461" t="s">
        <v>44</v>
      </c>
      <c r="D461" s="2">
        <v>0</v>
      </c>
    </row>
    <row r="462" spans="1:4" x14ac:dyDescent="0.25">
      <c r="A462" s="43">
        <v>45962</v>
      </c>
      <c r="B462" t="s">
        <v>116</v>
      </c>
      <c r="C462" t="s">
        <v>44</v>
      </c>
      <c r="D462" s="2">
        <v>0</v>
      </c>
    </row>
    <row r="463" spans="1:4" x14ac:dyDescent="0.25">
      <c r="A463" s="43">
        <v>45992</v>
      </c>
      <c r="B463" t="s">
        <v>116</v>
      </c>
      <c r="C463" t="s">
        <v>44</v>
      </c>
      <c r="D463" s="2">
        <v>0</v>
      </c>
    </row>
    <row r="464" spans="1:4" x14ac:dyDescent="0.25">
      <c r="A464" s="43">
        <v>45689</v>
      </c>
      <c r="B464" t="s">
        <v>116</v>
      </c>
      <c r="C464" t="s">
        <v>59</v>
      </c>
      <c r="D464" s="2">
        <v>0</v>
      </c>
    </row>
    <row r="465" spans="1:4" x14ac:dyDescent="0.25">
      <c r="A465" s="43">
        <v>45717</v>
      </c>
      <c r="B465" t="s">
        <v>116</v>
      </c>
      <c r="C465" t="s">
        <v>59</v>
      </c>
      <c r="D465" s="2">
        <v>0</v>
      </c>
    </row>
    <row r="466" spans="1:4" x14ac:dyDescent="0.25">
      <c r="A466" s="43">
        <v>45748</v>
      </c>
      <c r="B466" t="s">
        <v>116</v>
      </c>
      <c r="C466" t="s">
        <v>59</v>
      </c>
      <c r="D466" s="2">
        <v>72.900000000000006</v>
      </c>
    </row>
    <row r="467" spans="1:4" x14ac:dyDescent="0.25">
      <c r="A467" s="43">
        <v>45778</v>
      </c>
      <c r="B467" t="s">
        <v>116</v>
      </c>
      <c r="C467" t="s">
        <v>59</v>
      </c>
      <c r="D467" s="2">
        <v>90</v>
      </c>
    </row>
    <row r="468" spans="1:4" x14ac:dyDescent="0.25">
      <c r="A468" s="43">
        <v>45809</v>
      </c>
      <c r="B468" t="s">
        <v>116</v>
      </c>
      <c r="C468" t="s">
        <v>59</v>
      </c>
      <c r="D468" s="2">
        <v>89.99</v>
      </c>
    </row>
    <row r="469" spans="1:4" x14ac:dyDescent="0.25">
      <c r="A469" s="43">
        <v>45839</v>
      </c>
      <c r="B469" t="s">
        <v>116</v>
      </c>
      <c r="C469" t="s">
        <v>59</v>
      </c>
      <c r="D469" s="2">
        <v>0</v>
      </c>
    </row>
    <row r="470" spans="1:4" x14ac:dyDescent="0.25">
      <c r="A470" s="43">
        <v>45870</v>
      </c>
      <c r="B470" t="s">
        <v>116</v>
      </c>
      <c r="C470" t="s">
        <v>59</v>
      </c>
      <c r="D470" s="2">
        <v>0</v>
      </c>
    </row>
    <row r="471" spans="1:4" x14ac:dyDescent="0.25">
      <c r="A471" s="43">
        <v>45901</v>
      </c>
      <c r="B471" t="s">
        <v>116</v>
      </c>
      <c r="C471" t="s">
        <v>59</v>
      </c>
      <c r="D471" s="2">
        <v>0</v>
      </c>
    </row>
    <row r="472" spans="1:4" x14ac:dyDescent="0.25">
      <c r="A472" s="43">
        <v>45931</v>
      </c>
      <c r="B472" t="s">
        <v>116</v>
      </c>
      <c r="C472" t="s">
        <v>59</v>
      </c>
      <c r="D472" s="2">
        <v>0</v>
      </c>
    </row>
    <row r="473" spans="1:4" x14ac:dyDescent="0.25">
      <c r="A473" s="43">
        <v>45962</v>
      </c>
      <c r="B473" t="s">
        <v>116</v>
      </c>
      <c r="C473" t="s">
        <v>59</v>
      </c>
      <c r="D473" s="2">
        <v>0</v>
      </c>
    </row>
    <row r="474" spans="1:4" x14ac:dyDescent="0.25">
      <c r="A474" s="43">
        <v>45992</v>
      </c>
      <c r="B474" t="s">
        <v>116</v>
      </c>
      <c r="C474" t="s">
        <v>59</v>
      </c>
      <c r="D474" s="2">
        <v>0</v>
      </c>
    </row>
    <row r="475" spans="1:4" x14ac:dyDescent="0.25">
      <c r="A475" s="43">
        <v>45689</v>
      </c>
      <c r="B475" t="s">
        <v>116</v>
      </c>
      <c r="C475" t="s">
        <v>66</v>
      </c>
      <c r="D475" s="2">
        <v>0</v>
      </c>
    </row>
    <row r="476" spans="1:4" x14ac:dyDescent="0.25">
      <c r="A476" s="43">
        <v>45717</v>
      </c>
      <c r="B476" t="s">
        <v>116</v>
      </c>
      <c r="C476" t="s">
        <v>66</v>
      </c>
      <c r="D476" s="2">
        <v>0</v>
      </c>
    </row>
    <row r="477" spans="1:4" x14ac:dyDescent="0.25">
      <c r="A477" s="43">
        <v>45748</v>
      </c>
      <c r="B477" t="s">
        <v>116</v>
      </c>
      <c r="C477" t="s">
        <v>66</v>
      </c>
      <c r="D477" s="2">
        <v>0</v>
      </c>
    </row>
    <row r="478" spans="1:4" x14ac:dyDescent="0.25">
      <c r="A478" s="43">
        <v>45778</v>
      </c>
      <c r="B478" t="s">
        <v>116</v>
      </c>
      <c r="C478" t="s">
        <v>66</v>
      </c>
      <c r="D478" s="2">
        <v>0</v>
      </c>
    </row>
    <row r="479" spans="1:4" x14ac:dyDescent="0.25">
      <c r="A479" s="43">
        <v>45809</v>
      </c>
      <c r="B479" t="s">
        <v>116</v>
      </c>
      <c r="C479" t="s">
        <v>66</v>
      </c>
      <c r="D479" s="2">
        <v>27.99</v>
      </c>
    </row>
    <row r="480" spans="1:4" x14ac:dyDescent="0.25">
      <c r="A480" s="43">
        <v>45839</v>
      </c>
      <c r="B480" t="s">
        <v>116</v>
      </c>
      <c r="C480" t="s">
        <v>66</v>
      </c>
      <c r="D480" s="2">
        <v>27.99</v>
      </c>
    </row>
    <row r="481" spans="1:4" x14ac:dyDescent="0.25">
      <c r="A481" s="43">
        <v>45870</v>
      </c>
      <c r="B481" t="s">
        <v>116</v>
      </c>
      <c r="C481" t="s">
        <v>66</v>
      </c>
      <c r="D481" s="2">
        <v>27.99</v>
      </c>
    </row>
    <row r="482" spans="1:4" x14ac:dyDescent="0.25">
      <c r="A482" s="43">
        <v>45901</v>
      </c>
      <c r="B482" t="s">
        <v>116</v>
      </c>
      <c r="C482" t="s">
        <v>66</v>
      </c>
      <c r="D482" s="2">
        <v>27.99</v>
      </c>
    </row>
    <row r="483" spans="1:4" x14ac:dyDescent="0.25">
      <c r="A483" s="43">
        <v>45931</v>
      </c>
      <c r="B483" t="s">
        <v>116</v>
      </c>
      <c r="C483" t="s">
        <v>66</v>
      </c>
      <c r="D483" s="2">
        <v>27.99</v>
      </c>
    </row>
    <row r="484" spans="1:4" x14ac:dyDescent="0.25">
      <c r="A484" s="43">
        <v>45962</v>
      </c>
      <c r="B484" t="s">
        <v>116</v>
      </c>
      <c r="C484" t="s">
        <v>66</v>
      </c>
      <c r="D484" s="2">
        <v>27.99</v>
      </c>
    </row>
    <row r="485" spans="1:4" x14ac:dyDescent="0.25">
      <c r="A485" s="43">
        <v>45992</v>
      </c>
      <c r="B485" t="s">
        <v>116</v>
      </c>
      <c r="C485" t="s">
        <v>66</v>
      </c>
      <c r="D485" s="2">
        <v>27.99</v>
      </c>
    </row>
    <row r="486" spans="1:4" x14ac:dyDescent="0.25">
      <c r="A486" s="43">
        <v>45689</v>
      </c>
      <c r="B486" t="s">
        <v>116</v>
      </c>
      <c r="C486" t="s">
        <v>72</v>
      </c>
      <c r="D486" s="2">
        <v>0</v>
      </c>
    </row>
    <row r="487" spans="1:4" x14ac:dyDescent="0.25">
      <c r="A487" s="43">
        <v>45717</v>
      </c>
      <c r="B487" t="s">
        <v>116</v>
      </c>
      <c r="C487" t="s">
        <v>72</v>
      </c>
      <c r="D487" s="2">
        <v>0</v>
      </c>
    </row>
    <row r="488" spans="1:4" x14ac:dyDescent="0.25">
      <c r="A488" s="43">
        <v>45748</v>
      </c>
      <c r="B488" t="s">
        <v>116</v>
      </c>
      <c r="C488" t="s">
        <v>72</v>
      </c>
      <c r="D488" s="2">
        <v>0</v>
      </c>
    </row>
    <row r="489" spans="1:4" x14ac:dyDescent="0.25">
      <c r="A489" s="43">
        <v>45778</v>
      </c>
      <c r="B489" t="s">
        <v>116</v>
      </c>
      <c r="C489" t="s">
        <v>72</v>
      </c>
      <c r="D489" s="2">
        <v>166.2</v>
      </c>
    </row>
    <row r="490" spans="1:4" x14ac:dyDescent="0.25">
      <c r="A490" s="43">
        <v>45809</v>
      </c>
      <c r="B490" t="s">
        <v>116</v>
      </c>
      <c r="C490" t="s">
        <v>72</v>
      </c>
      <c r="D490" s="2">
        <v>0</v>
      </c>
    </row>
    <row r="491" spans="1:4" x14ac:dyDescent="0.25">
      <c r="A491" s="43">
        <v>45839</v>
      </c>
      <c r="B491" t="s">
        <v>116</v>
      </c>
      <c r="C491" t="s">
        <v>72</v>
      </c>
      <c r="D491" s="2">
        <v>0</v>
      </c>
    </row>
    <row r="492" spans="1:4" x14ac:dyDescent="0.25">
      <c r="A492" s="43">
        <v>45870</v>
      </c>
      <c r="B492" t="s">
        <v>116</v>
      </c>
      <c r="C492" t="s">
        <v>72</v>
      </c>
      <c r="D492" s="2">
        <v>0</v>
      </c>
    </row>
    <row r="493" spans="1:4" x14ac:dyDescent="0.25">
      <c r="A493" s="43">
        <v>45901</v>
      </c>
      <c r="B493" t="s">
        <v>116</v>
      </c>
      <c r="C493" t="s">
        <v>72</v>
      </c>
      <c r="D493" s="2">
        <v>0</v>
      </c>
    </row>
    <row r="494" spans="1:4" x14ac:dyDescent="0.25">
      <c r="A494" s="43">
        <v>45931</v>
      </c>
      <c r="B494" t="s">
        <v>116</v>
      </c>
      <c r="C494" t="s">
        <v>72</v>
      </c>
      <c r="D494" s="2">
        <v>0</v>
      </c>
    </row>
    <row r="495" spans="1:4" x14ac:dyDescent="0.25">
      <c r="A495" s="43">
        <v>45962</v>
      </c>
      <c r="B495" t="s">
        <v>116</v>
      </c>
      <c r="C495" t="s">
        <v>72</v>
      </c>
      <c r="D495" s="2">
        <v>0</v>
      </c>
    </row>
    <row r="496" spans="1:4" x14ac:dyDescent="0.25">
      <c r="A496" s="43">
        <v>45992</v>
      </c>
      <c r="B496" t="s">
        <v>116</v>
      </c>
      <c r="C496" t="s">
        <v>72</v>
      </c>
      <c r="D496" s="2">
        <v>0</v>
      </c>
    </row>
    <row r="497" spans="1:4" x14ac:dyDescent="0.25">
      <c r="A497" s="43">
        <v>45689</v>
      </c>
      <c r="B497" t="s">
        <v>116</v>
      </c>
      <c r="C497" t="s">
        <v>60</v>
      </c>
      <c r="D497" s="2">
        <v>0</v>
      </c>
    </row>
    <row r="498" spans="1:4" x14ac:dyDescent="0.25">
      <c r="A498" s="43">
        <v>45717</v>
      </c>
      <c r="B498" t="s">
        <v>116</v>
      </c>
      <c r="C498" t="s">
        <v>60</v>
      </c>
      <c r="D498" s="2">
        <v>0</v>
      </c>
    </row>
    <row r="499" spans="1:4" x14ac:dyDescent="0.25">
      <c r="A499" s="43">
        <v>45748</v>
      </c>
      <c r="B499" t="s">
        <v>116</v>
      </c>
      <c r="C499" t="s">
        <v>60</v>
      </c>
      <c r="D499" s="2">
        <v>19.989999999999998</v>
      </c>
    </row>
    <row r="500" spans="1:4" x14ac:dyDescent="0.25">
      <c r="A500" s="43">
        <v>45778</v>
      </c>
      <c r="B500" t="s">
        <v>116</v>
      </c>
      <c r="C500" t="s">
        <v>60</v>
      </c>
      <c r="D500" s="2">
        <v>0</v>
      </c>
    </row>
    <row r="501" spans="1:4" x14ac:dyDescent="0.25">
      <c r="A501" s="43">
        <v>45809</v>
      </c>
      <c r="B501" t="s">
        <v>116</v>
      </c>
      <c r="C501" t="s">
        <v>60</v>
      </c>
      <c r="D501" s="2">
        <v>0</v>
      </c>
    </row>
    <row r="502" spans="1:4" x14ac:dyDescent="0.25">
      <c r="A502" s="43">
        <v>45839</v>
      </c>
      <c r="B502" t="s">
        <v>116</v>
      </c>
      <c r="C502" t="s">
        <v>60</v>
      </c>
      <c r="D502" s="2">
        <v>0</v>
      </c>
    </row>
    <row r="503" spans="1:4" x14ac:dyDescent="0.25">
      <c r="A503" s="43">
        <v>45870</v>
      </c>
      <c r="B503" t="s">
        <v>116</v>
      </c>
      <c r="C503" t="s">
        <v>60</v>
      </c>
      <c r="D503" s="2">
        <v>0</v>
      </c>
    </row>
    <row r="504" spans="1:4" x14ac:dyDescent="0.25">
      <c r="A504" s="43">
        <v>45901</v>
      </c>
      <c r="B504" t="s">
        <v>116</v>
      </c>
      <c r="C504" t="s">
        <v>60</v>
      </c>
      <c r="D504" s="2">
        <v>0</v>
      </c>
    </row>
    <row r="505" spans="1:4" x14ac:dyDescent="0.25">
      <c r="A505" s="43">
        <v>45931</v>
      </c>
      <c r="B505" t="s">
        <v>116</v>
      </c>
      <c r="C505" t="s">
        <v>60</v>
      </c>
      <c r="D505" s="2">
        <v>0</v>
      </c>
    </row>
    <row r="506" spans="1:4" x14ac:dyDescent="0.25">
      <c r="A506" s="43">
        <v>45962</v>
      </c>
      <c r="B506" t="s">
        <v>116</v>
      </c>
      <c r="C506" t="s">
        <v>60</v>
      </c>
      <c r="D506" s="2">
        <v>0</v>
      </c>
    </row>
    <row r="507" spans="1:4" x14ac:dyDescent="0.25">
      <c r="A507" s="43">
        <v>45992</v>
      </c>
      <c r="B507" t="s">
        <v>116</v>
      </c>
      <c r="C507" t="s">
        <v>60</v>
      </c>
      <c r="D507" s="2">
        <v>0</v>
      </c>
    </row>
    <row r="508" spans="1:4" x14ac:dyDescent="0.25">
      <c r="A508" s="43">
        <v>45689</v>
      </c>
      <c r="B508" t="s">
        <v>116</v>
      </c>
      <c r="C508" t="s">
        <v>68</v>
      </c>
      <c r="D508" s="2">
        <v>0</v>
      </c>
    </row>
    <row r="509" spans="1:4" x14ac:dyDescent="0.25">
      <c r="A509" s="43">
        <v>45717</v>
      </c>
      <c r="B509" t="s">
        <v>116</v>
      </c>
      <c r="C509" t="s">
        <v>68</v>
      </c>
      <c r="D509" s="2">
        <v>0</v>
      </c>
    </row>
    <row r="510" spans="1:4" x14ac:dyDescent="0.25">
      <c r="A510" s="43">
        <v>45748</v>
      </c>
      <c r="B510" t="s">
        <v>116</v>
      </c>
      <c r="C510" t="s">
        <v>68</v>
      </c>
      <c r="D510" s="2">
        <v>0</v>
      </c>
    </row>
    <row r="511" spans="1:4" x14ac:dyDescent="0.25">
      <c r="A511" s="43">
        <v>45778</v>
      </c>
      <c r="B511" t="s">
        <v>116</v>
      </c>
      <c r="C511" t="s">
        <v>68</v>
      </c>
      <c r="D511" s="2">
        <v>0</v>
      </c>
    </row>
    <row r="512" spans="1:4" x14ac:dyDescent="0.25">
      <c r="A512" s="43">
        <v>45809</v>
      </c>
      <c r="B512" t="s">
        <v>116</v>
      </c>
      <c r="C512" t="s">
        <v>68</v>
      </c>
      <c r="D512" s="2">
        <v>0</v>
      </c>
    </row>
    <row r="513" spans="1:4" x14ac:dyDescent="0.25">
      <c r="A513" s="43">
        <v>45839</v>
      </c>
      <c r="B513" t="s">
        <v>116</v>
      </c>
      <c r="C513" t="s">
        <v>68</v>
      </c>
      <c r="D513" s="2">
        <v>0</v>
      </c>
    </row>
    <row r="514" spans="1:4" x14ac:dyDescent="0.25">
      <c r="A514" s="43">
        <v>45870</v>
      </c>
      <c r="B514" t="s">
        <v>116</v>
      </c>
      <c r="C514" t="s">
        <v>68</v>
      </c>
      <c r="D514" s="2">
        <v>0</v>
      </c>
    </row>
    <row r="515" spans="1:4" x14ac:dyDescent="0.25">
      <c r="A515" s="43">
        <v>45901</v>
      </c>
      <c r="B515" t="s">
        <v>116</v>
      </c>
      <c r="C515" t="s">
        <v>68</v>
      </c>
      <c r="D515" s="2">
        <v>0</v>
      </c>
    </row>
    <row r="516" spans="1:4" x14ac:dyDescent="0.25">
      <c r="A516" s="43">
        <v>45931</v>
      </c>
      <c r="B516" t="s">
        <v>116</v>
      </c>
      <c r="C516" t="s">
        <v>68</v>
      </c>
      <c r="D516" s="2">
        <v>8</v>
      </c>
    </row>
    <row r="517" spans="1:4" x14ac:dyDescent="0.25">
      <c r="A517" s="43">
        <v>45962</v>
      </c>
      <c r="B517" t="s">
        <v>116</v>
      </c>
      <c r="C517" t="s">
        <v>68</v>
      </c>
      <c r="D517" s="2">
        <v>0</v>
      </c>
    </row>
    <row r="518" spans="1:4" x14ac:dyDescent="0.25">
      <c r="A518" s="43">
        <v>45992</v>
      </c>
      <c r="B518" t="s">
        <v>116</v>
      </c>
      <c r="C518" t="s">
        <v>68</v>
      </c>
      <c r="D518" s="2">
        <v>0</v>
      </c>
    </row>
    <row r="519" spans="1:4" x14ac:dyDescent="0.25">
      <c r="A519" s="43">
        <v>45689</v>
      </c>
      <c r="B519" t="s">
        <v>117</v>
      </c>
      <c r="C519" t="s">
        <v>39</v>
      </c>
      <c r="D519" s="2">
        <v>0</v>
      </c>
    </row>
    <row r="520" spans="1:4" x14ac:dyDescent="0.25">
      <c r="A520" s="43">
        <v>45717</v>
      </c>
      <c r="B520" t="s">
        <v>117</v>
      </c>
      <c r="C520" t="s">
        <v>39</v>
      </c>
      <c r="D520" s="2">
        <v>0</v>
      </c>
    </row>
    <row r="521" spans="1:4" x14ac:dyDescent="0.25">
      <c r="A521" s="43">
        <v>45748</v>
      </c>
      <c r="B521" t="s">
        <v>117</v>
      </c>
      <c r="C521" t="s">
        <v>39</v>
      </c>
      <c r="D521" s="2">
        <v>2807.32</v>
      </c>
    </row>
    <row r="522" spans="1:4" x14ac:dyDescent="0.25">
      <c r="A522" s="43">
        <v>45778</v>
      </c>
      <c r="B522" t="s">
        <v>117</v>
      </c>
      <c r="C522" t="s">
        <v>39</v>
      </c>
      <c r="D522" s="2">
        <v>5410.07</v>
      </c>
    </row>
    <row r="523" spans="1:4" x14ac:dyDescent="0.25">
      <c r="A523" s="43">
        <v>45809</v>
      </c>
      <c r="B523" t="s">
        <v>117</v>
      </c>
      <c r="C523" t="s">
        <v>39</v>
      </c>
      <c r="D523" s="2">
        <v>4524.75</v>
      </c>
    </row>
    <row r="524" spans="1:4" x14ac:dyDescent="0.25">
      <c r="A524" s="43">
        <v>45839</v>
      </c>
      <c r="B524" t="s">
        <v>117</v>
      </c>
      <c r="C524" t="s">
        <v>39</v>
      </c>
      <c r="D524" s="2">
        <v>1933.59</v>
      </c>
    </row>
    <row r="525" spans="1:4" x14ac:dyDescent="0.25">
      <c r="A525" s="43">
        <v>45870</v>
      </c>
      <c r="B525" t="s">
        <v>117</v>
      </c>
      <c r="C525" t="s">
        <v>39</v>
      </c>
      <c r="D525" s="2">
        <v>1713.11</v>
      </c>
    </row>
    <row r="526" spans="1:4" x14ac:dyDescent="0.25">
      <c r="A526" s="43">
        <v>45901</v>
      </c>
      <c r="B526" t="s">
        <v>117</v>
      </c>
      <c r="C526" t="s">
        <v>39</v>
      </c>
      <c r="D526" s="2">
        <v>10716.61</v>
      </c>
    </row>
    <row r="527" spans="1:4" x14ac:dyDescent="0.25">
      <c r="A527" s="43">
        <v>45931</v>
      </c>
      <c r="B527" t="s">
        <v>117</v>
      </c>
      <c r="C527" t="s">
        <v>39</v>
      </c>
      <c r="D527" s="2">
        <v>20552.650000000001</v>
      </c>
    </row>
    <row r="528" spans="1:4" x14ac:dyDescent="0.25">
      <c r="A528" s="43">
        <v>45962</v>
      </c>
      <c r="B528" t="s">
        <v>117</v>
      </c>
      <c r="C528" t="s">
        <v>39</v>
      </c>
      <c r="D528" s="2">
        <v>5672.47</v>
      </c>
    </row>
    <row r="529" spans="1:4" x14ac:dyDescent="0.25">
      <c r="A529" s="43">
        <v>45992</v>
      </c>
      <c r="B529" t="s">
        <v>117</v>
      </c>
      <c r="C529" t="s">
        <v>39</v>
      </c>
      <c r="D529" s="2">
        <v>2854.27</v>
      </c>
    </row>
    <row r="530" spans="1:4" x14ac:dyDescent="0.25">
      <c r="A530" s="43">
        <v>45689</v>
      </c>
      <c r="B530" t="s">
        <v>118</v>
      </c>
      <c r="C530" t="s">
        <v>42</v>
      </c>
      <c r="D530" s="2">
        <v>0</v>
      </c>
    </row>
    <row r="531" spans="1:4" x14ac:dyDescent="0.25">
      <c r="A531" s="43">
        <v>45717</v>
      </c>
      <c r="B531" t="s">
        <v>118</v>
      </c>
      <c r="C531" t="s">
        <v>42</v>
      </c>
      <c r="D531" s="2">
        <v>0</v>
      </c>
    </row>
    <row r="532" spans="1:4" x14ac:dyDescent="0.25">
      <c r="A532" s="43">
        <v>45748</v>
      </c>
      <c r="B532" t="s">
        <v>118</v>
      </c>
      <c r="C532" t="s">
        <v>42</v>
      </c>
      <c r="D532" s="2">
        <v>0</v>
      </c>
    </row>
    <row r="533" spans="1:4" x14ac:dyDescent="0.25">
      <c r="A533" s="43">
        <v>45778</v>
      </c>
      <c r="B533" t="s">
        <v>118</v>
      </c>
      <c r="C533" t="s">
        <v>42</v>
      </c>
      <c r="D533" s="2">
        <v>0</v>
      </c>
    </row>
    <row r="534" spans="1:4" x14ac:dyDescent="0.25">
      <c r="A534" s="43">
        <v>45809</v>
      </c>
      <c r="B534" t="s">
        <v>118</v>
      </c>
      <c r="C534" t="s">
        <v>42</v>
      </c>
      <c r="D534" s="2">
        <v>0</v>
      </c>
    </row>
    <row r="535" spans="1:4" x14ac:dyDescent="0.25">
      <c r="A535" s="43">
        <v>45839</v>
      </c>
      <c r="B535" t="s">
        <v>118</v>
      </c>
      <c r="C535" t="s">
        <v>42</v>
      </c>
      <c r="D535" s="2">
        <v>3000</v>
      </c>
    </row>
    <row r="536" spans="1:4" x14ac:dyDescent="0.25">
      <c r="A536" s="43">
        <v>45870</v>
      </c>
      <c r="B536" t="s">
        <v>118</v>
      </c>
      <c r="C536" t="s">
        <v>42</v>
      </c>
      <c r="D536" s="2">
        <v>4800</v>
      </c>
    </row>
    <row r="537" spans="1:4" x14ac:dyDescent="0.25">
      <c r="A537" s="43">
        <v>45901</v>
      </c>
      <c r="B537" t="s">
        <v>118</v>
      </c>
      <c r="C537" t="s">
        <v>42</v>
      </c>
      <c r="D537" s="2">
        <v>35319.5</v>
      </c>
    </row>
    <row r="538" spans="1:4" x14ac:dyDescent="0.25">
      <c r="A538" s="43">
        <v>45931</v>
      </c>
      <c r="B538" t="s">
        <v>118</v>
      </c>
      <c r="C538" t="s">
        <v>42</v>
      </c>
      <c r="D538" s="2">
        <v>0</v>
      </c>
    </row>
    <row r="539" spans="1:4" x14ac:dyDescent="0.25">
      <c r="A539" s="43">
        <v>45962</v>
      </c>
      <c r="B539" t="s">
        <v>118</v>
      </c>
      <c r="C539" t="s">
        <v>42</v>
      </c>
      <c r="D539" s="2">
        <v>0</v>
      </c>
    </row>
    <row r="540" spans="1:4" x14ac:dyDescent="0.25">
      <c r="A540" s="43">
        <v>45992</v>
      </c>
      <c r="B540" t="s">
        <v>118</v>
      </c>
      <c r="C540" t="s">
        <v>42</v>
      </c>
      <c r="D540" s="2">
        <v>3400</v>
      </c>
    </row>
    <row r="541" spans="1:4" x14ac:dyDescent="0.25">
      <c r="A541" s="43">
        <v>45689</v>
      </c>
      <c r="B541" t="s">
        <v>118</v>
      </c>
      <c r="C541" t="s">
        <v>55</v>
      </c>
      <c r="D541" s="2">
        <v>0</v>
      </c>
    </row>
    <row r="542" spans="1:4" x14ac:dyDescent="0.25">
      <c r="A542" s="43">
        <v>45717</v>
      </c>
      <c r="B542" t="s">
        <v>118</v>
      </c>
      <c r="C542" t="s">
        <v>55</v>
      </c>
      <c r="D542" s="2">
        <v>0</v>
      </c>
    </row>
    <row r="543" spans="1:4" x14ac:dyDescent="0.25">
      <c r="A543" s="43">
        <v>45748</v>
      </c>
      <c r="B543" t="s">
        <v>118</v>
      </c>
      <c r="C543" t="s">
        <v>55</v>
      </c>
      <c r="D543" s="2">
        <v>0</v>
      </c>
    </row>
    <row r="544" spans="1:4" x14ac:dyDescent="0.25">
      <c r="A544" s="43">
        <v>45778</v>
      </c>
      <c r="B544" t="s">
        <v>118</v>
      </c>
      <c r="C544" t="s">
        <v>55</v>
      </c>
      <c r="D544" s="2">
        <v>0</v>
      </c>
    </row>
    <row r="545" spans="1:4" x14ac:dyDescent="0.25">
      <c r="A545" s="43">
        <v>45809</v>
      </c>
      <c r="B545" t="s">
        <v>118</v>
      </c>
      <c r="C545" t="s">
        <v>55</v>
      </c>
      <c r="D545" s="2">
        <v>224.9</v>
      </c>
    </row>
    <row r="546" spans="1:4" x14ac:dyDescent="0.25">
      <c r="A546" s="43">
        <v>45839</v>
      </c>
      <c r="B546" t="s">
        <v>118</v>
      </c>
      <c r="C546" t="s">
        <v>55</v>
      </c>
      <c r="D546" s="2">
        <v>0</v>
      </c>
    </row>
    <row r="547" spans="1:4" x14ac:dyDescent="0.25">
      <c r="A547" s="43">
        <v>45870</v>
      </c>
      <c r="B547" t="s">
        <v>118</v>
      </c>
      <c r="C547" t="s">
        <v>55</v>
      </c>
      <c r="D547" s="2">
        <v>0</v>
      </c>
    </row>
    <row r="548" spans="1:4" x14ac:dyDescent="0.25">
      <c r="A548" s="43">
        <v>45901</v>
      </c>
      <c r="B548" t="s">
        <v>118</v>
      </c>
      <c r="C548" t="s">
        <v>55</v>
      </c>
      <c r="D548" s="2">
        <v>0</v>
      </c>
    </row>
    <row r="549" spans="1:4" x14ac:dyDescent="0.25">
      <c r="A549" s="43">
        <v>45931</v>
      </c>
      <c r="B549" t="s">
        <v>118</v>
      </c>
      <c r="C549" t="s">
        <v>55</v>
      </c>
      <c r="D549" s="2">
        <v>0</v>
      </c>
    </row>
    <row r="550" spans="1:4" x14ac:dyDescent="0.25">
      <c r="A550" s="43">
        <v>45962</v>
      </c>
      <c r="B550" t="s">
        <v>118</v>
      </c>
      <c r="C550" t="s">
        <v>55</v>
      </c>
      <c r="D550" s="2">
        <v>0</v>
      </c>
    </row>
    <row r="551" spans="1:4" x14ac:dyDescent="0.25">
      <c r="A551" s="43">
        <v>45992</v>
      </c>
      <c r="B551" t="s">
        <v>118</v>
      </c>
      <c r="C551" t="s">
        <v>55</v>
      </c>
      <c r="D551" s="2">
        <v>0</v>
      </c>
    </row>
    <row r="552" spans="1:4" x14ac:dyDescent="0.25">
      <c r="A552" s="43">
        <v>45689</v>
      </c>
      <c r="B552" t="s">
        <v>118</v>
      </c>
      <c r="C552" t="s">
        <v>66</v>
      </c>
      <c r="D552" s="2">
        <v>0</v>
      </c>
    </row>
    <row r="553" spans="1:4" x14ac:dyDescent="0.25">
      <c r="A553" s="43">
        <v>45717</v>
      </c>
      <c r="B553" t="s">
        <v>118</v>
      </c>
      <c r="C553" t="s">
        <v>66</v>
      </c>
      <c r="D553" s="2">
        <v>0</v>
      </c>
    </row>
    <row r="554" spans="1:4" x14ac:dyDescent="0.25">
      <c r="A554" s="43">
        <v>45748</v>
      </c>
      <c r="B554" t="s">
        <v>118</v>
      </c>
      <c r="C554" t="s">
        <v>66</v>
      </c>
      <c r="D554" s="2">
        <v>0</v>
      </c>
    </row>
    <row r="555" spans="1:4" x14ac:dyDescent="0.25">
      <c r="A555" s="43">
        <v>45778</v>
      </c>
      <c r="B555" t="s">
        <v>118</v>
      </c>
      <c r="C555" t="s">
        <v>66</v>
      </c>
      <c r="D555" s="2">
        <v>0</v>
      </c>
    </row>
    <row r="556" spans="1:4" x14ac:dyDescent="0.25">
      <c r="A556" s="43">
        <v>45809</v>
      </c>
      <c r="B556" t="s">
        <v>118</v>
      </c>
      <c r="C556" t="s">
        <v>66</v>
      </c>
      <c r="D556" s="2">
        <v>0</v>
      </c>
    </row>
    <row r="557" spans="1:4" x14ac:dyDescent="0.25">
      <c r="A557" s="43">
        <v>45839</v>
      </c>
      <c r="B557" t="s">
        <v>118</v>
      </c>
      <c r="C557" t="s">
        <v>66</v>
      </c>
      <c r="D557" s="2">
        <v>0</v>
      </c>
    </row>
    <row r="558" spans="1:4" x14ac:dyDescent="0.25">
      <c r="A558" s="43">
        <v>45870</v>
      </c>
      <c r="B558" t="s">
        <v>118</v>
      </c>
      <c r="C558" t="s">
        <v>66</v>
      </c>
      <c r="D558" s="2">
        <v>0</v>
      </c>
    </row>
    <row r="559" spans="1:4" x14ac:dyDescent="0.25">
      <c r="A559" s="43">
        <v>45901</v>
      </c>
      <c r="B559" t="s">
        <v>118</v>
      </c>
      <c r="C559" t="s">
        <v>66</v>
      </c>
      <c r="D559" s="2">
        <v>0</v>
      </c>
    </row>
    <row r="560" spans="1:4" x14ac:dyDescent="0.25">
      <c r="A560" s="43">
        <v>45931</v>
      </c>
      <c r="B560" t="s">
        <v>118</v>
      </c>
      <c r="C560" t="s">
        <v>66</v>
      </c>
      <c r="D560" s="2">
        <v>53.9</v>
      </c>
    </row>
    <row r="561" spans="1:4" x14ac:dyDescent="0.25">
      <c r="A561" s="43">
        <v>45962</v>
      </c>
      <c r="B561" t="s">
        <v>118</v>
      </c>
      <c r="C561" t="s">
        <v>66</v>
      </c>
      <c r="D561" s="2">
        <v>53.9</v>
      </c>
    </row>
    <row r="562" spans="1:4" x14ac:dyDescent="0.25">
      <c r="A562" s="43">
        <v>45992</v>
      </c>
      <c r="B562" t="s">
        <v>118</v>
      </c>
      <c r="C562" t="s">
        <v>66</v>
      </c>
      <c r="D562" s="2">
        <v>53.9</v>
      </c>
    </row>
    <row r="563" spans="1:4" x14ac:dyDescent="0.25">
      <c r="A563" s="43">
        <v>45689</v>
      </c>
      <c r="B563" t="s">
        <v>119</v>
      </c>
      <c r="C563" t="s">
        <v>41</v>
      </c>
      <c r="D563" s="2">
        <v>0</v>
      </c>
    </row>
    <row r="564" spans="1:4" x14ac:dyDescent="0.25">
      <c r="A564" s="43">
        <v>45717</v>
      </c>
      <c r="B564" t="s">
        <v>119</v>
      </c>
      <c r="C564" t="s">
        <v>41</v>
      </c>
      <c r="D564" s="2">
        <v>0</v>
      </c>
    </row>
    <row r="565" spans="1:4" x14ac:dyDescent="0.25">
      <c r="A565" s="43">
        <v>45748</v>
      </c>
      <c r="B565" t="s">
        <v>119</v>
      </c>
      <c r="C565" t="s">
        <v>41</v>
      </c>
      <c r="D565" s="2">
        <v>2500</v>
      </c>
    </row>
    <row r="566" spans="1:4" x14ac:dyDescent="0.25">
      <c r="A566" s="43">
        <v>45778</v>
      </c>
      <c r="B566" t="s">
        <v>119</v>
      </c>
      <c r="C566" t="s">
        <v>41</v>
      </c>
      <c r="D566" s="2">
        <v>2500</v>
      </c>
    </row>
    <row r="567" spans="1:4" x14ac:dyDescent="0.25">
      <c r="A567" s="43">
        <v>45809</v>
      </c>
      <c r="B567" t="s">
        <v>119</v>
      </c>
      <c r="C567" t="s">
        <v>41</v>
      </c>
      <c r="D567" s="2">
        <v>2500</v>
      </c>
    </row>
    <row r="568" spans="1:4" x14ac:dyDescent="0.25">
      <c r="A568" s="43">
        <v>45839</v>
      </c>
      <c r="B568" t="s">
        <v>119</v>
      </c>
      <c r="C568" t="s">
        <v>41</v>
      </c>
      <c r="D568" s="2">
        <v>2500</v>
      </c>
    </row>
    <row r="569" spans="1:4" x14ac:dyDescent="0.25">
      <c r="A569" s="43">
        <v>45870</v>
      </c>
      <c r="B569" t="s">
        <v>119</v>
      </c>
      <c r="C569" t="s">
        <v>41</v>
      </c>
      <c r="D569" s="2">
        <v>2500</v>
      </c>
    </row>
    <row r="570" spans="1:4" x14ac:dyDescent="0.25">
      <c r="A570" s="43">
        <v>45901</v>
      </c>
      <c r="B570" t="s">
        <v>119</v>
      </c>
      <c r="C570" t="s">
        <v>41</v>
      </c>
      <c r="D570" s="2">
        <v>2500</v>
      </c>
    </row>
    <row r="571" spans="1:4" x14ac:dyDescent="0.25">
      <c r="A571" s="43">
        <v>45931</v>
      </c>
      <c r="B571" t="s">
        <v>119</v>
      </c>
      <c r="C571" t="s">
        <v>41</v>
      </c>
      <c r="D571" s="2">
        <v>2500</v>
      </c>
    </row>
    <row r="572" spans="1:4" x14ac:dyDescent="0.25">
      <c r="A572" s="43">
        <v>45962</v>
      </c>
      <c r="B572" t="s">
        <v>119</v>
      </c>
      <c r="C572" t="s">
        <v>41</v>
      </c>
      <c r="D572" s="2">
        <v>2500</v>
      </c>
    </row>
    <row r="573" spans="1:4" x14ac:dyDescent="0.25">
      <c r="A573" s="43">
        <v>45992</v>
      </c>
      <c r="B573" t="s">
        <v>119</v>
      </c>
      <c r="C573" t="s">
        <v>41</v>
      </c>
      <c r="D573" s="2">
        <v>2500</v>
      </c>
    </row>
    <row r="574" spans="1:4" x14ac:dyDescent="0.25">
      <c r="A574" s="43">
        <v>45689</v>
      </c>
      <c r="B574" t="s">
        <v>119</v>
      </c>
      <c r="C574" t="s">
        <v>66</v>
      </c>
      <c r="D574" s="2">
        <v>0</v>
      </c>
    </row>
    <row r="575" spans="1:4" x14ac:dyDescent="0.25">
      <c r="A575" s="43">
        <v>45717</v>
      </c>
      <c r="B575" t="s">
        <v>119</v>
      </c>
      <c r="C575" t="s">
        <v>66</v>
      </c>
      <c r="D575" s="2">
        <v>0</v>
      </c>
    </row>
    <row r="576" spans="1:4" x14ac:dyDescent="0.25">
      <c r="A576" s="43">
        <v>45748</v>
      </c>
      <c r="B576" t="s">
        <v>119</v>
      </c>
      <c r="C576" t="s">
        <v>66</v>
      </c>
      <c r="D576" s="2">
        <v>0</v>
      </c>
    </row>
    <row r="577" spans="1:4" x14ac:dyDescent="0.25">
      <c r="A577" s="43">
        <v>45778</v>
      </c>
      <c r="B577" t="s">
        <v>119</v>
      </c>
      <c r="C577" t="s">
        <v>66</v>
      </c>
      <c r="D577" s="2">
        <v>1497</v>
      </c>
    </row>
    <row r="578" spans="1:4" x14ac:dyDescent="0.25">
      <c r="A578" s="43">
        <v>45809</v>
      </c>
      <c r="B578" t="s">
        <v>119</v>
      </c>
      <c r="C578" t="s">
        <v>66</v>
      </c>
      <c r="D578" s="2">
        <v>0</v>
      </c>
    </row>
    <row r="579" spans="1:4" x14ac:dyDescent="0.25">
      <c r="A579" s="43">
        <v>45839</v>
      </c>
      <c r="B579" t="s">
        <v>119</v>
      </c>
      <c r="C579" t="s">
        <v>66</v>
      </c>
      <c r="D579" s="2">
        <v>0</v>
      </c>
    </row>
    <row r="580" spans="1:4" x14ac:dyDescent="0.25">
      <c r="A580" s="43">
        <v>45870</v>
      </c>
      <c r="B580" t="s">
        <v>119</v>
      </c>
      <c r="C580" t="s">
        <v>66</v>
      </c>
      <c r="D580" s="2">
        <v>0</v>
      </c>
    </row>
    <row r="581" spans="1:4" x14ac:dyDescent="0.25">
      <c r="A581" s="43">
        <v>45901</v>
      </c>
      <c r="B581" t="s">
        <v>119</v>
      </c>
      <c r="C581" t="s">
        <v>66</v>
      </c>
      <c r="D581" s="2">
        <v>0</v>
      </c>
    </row>
    <row r="582" spans="1:4" x14ac:dyDescent="0.25">
      <c r="A582" s="43">
        <v>45931</v>
      </c>
      <c r="B582" t="s">
        <v>119</v>
      </c>
      <c r="C582" t="s">
        <v>66</v>
      </c>
      <c r="D582" s="2">
        <v>239.99</v>
      </c>
    </row>
    <row r="583" spans="1:4" x14ac:dyDescent="0.25">
      <c r="A583" s="43">
        <v>45962</v>
      </c>
      <c r="B583" t="s">
        <v>119</v>
      </c>
      <c r="C583" t="s">
        <v>66</v>
      </c>
      <c r="D583" s="2">
        <v>239.99</v>
      </c>
    </row>
    <row r="584" spans="1:4" x14ac:dyDescent="0.25">
      <c r="A584" s="43">
        <v>45992</v>
      </c>
      <c r="B584" t="s">
        <v>119</v>
      </c>
      <c r="C584" t="s">
        <v>66</v>
      </c>
      <c r="D584" s="2">
        <v>239.99</v>
      </c>
    </row>
    <row r="585" spans="1:4" x14ac:dyDescent="0.25">
      <c r="A585" s="43">
        <v>45689</v>
      </c>
      <c r="B585" t="s">
        <v>119</v>
      </c>
      <c r="C585" t="s">
        <v>76</v>
      </c>
      <c r="D585" s="2">
        <v>0</v>
      </c>
    </row>
    <row r="586" spans="1:4" x14ac:dyDescent="0.25">
      <c r="A586" s="43">
        <v>45717</v>
      </c>
      <c r="B586" t="s">
        <v>119</v>
      </c>
      <c r="C586" t="s">
        <v>76</v>
      </c>
      <c r="D586" s="2">
        <v>0</v>
      </c>
    </row>
    <row r="587" spans="1:4" x14ac:dyDescent="0.25">
      <c r="A587" s="43">
        <v>45748</v>
      </c>
      <c r="B587" t="s">
        <v>119</v>
      </c>
      <c r="C587" t="s">
        <v>76</v>
      </c>
      <c r="D587" s="2">
        <v>0</v>
      </c>
    </row>
    <row r="588" spans="1:4" x14ac:dyDescent="0.25">
      <c r="A588" s="43">
        <v>45778</v>
      </c>
      <c r="B588" t="s">
        <v>119</v>
      </c>
      <c r="C588" t="s">
        <v>76</v>
      </c>
      <c r="D588" s="2">
        <v>0</v>
      </c>
    </row>
    <row r="589" spans="1:4" x14ac:dyDescent="0.25">
      <c r="A589" s="43">
        <v>45809</v>
      </c>
      <c r="B589" t="s">
        <v>119</v>
      </c>
      <c r="C589" t="s">
        <v>76</v>
      </c>
      <c r="D589" s="2">
        <v>0</v>
      </c>
    </row>
    <row r="590" spans="1:4" x14ac:dyDescent="0.25">
      <c r="A590" s="43">
        <v>45839</v>
      </c>
      <c r="B590" t="s">
        <v>119</v>
      </c>
      <c r="C590" t="s">
        <v>76</v>
      </c>
      <c r="D590" s="2">
        <v>0</v>
      </c>
    </row>
    <row r="591" spans="1:4" x14ac:dyDescent="0.25">
      <c r="A591" s="43">
        <v>45870</v>
      </c>
      <c r="B591" t="s">
        <v>119</v>
      </c>
      <c r="C591" t="s">
        <v>76</v>
      </c>
      <c r="D591" s="2">
        <v>4</v>
      </c>
    </row>
    <row r="592" spans="1:4" x14ac:dyDescent="0.25">
      <c r="A592" s="43">
        <v>45901</v>
      </c>
      <c r="B592" t="s">
        <v>119</v>
      </c>
      <c r="C592" t="s">
        <v>76</v>
      </c>
      <c r="D592" s="2">
        <v>0</v>
      </c>
    </row>
    <row r="593" spans="1:4" x14ac:dyDescent="0.25">
      <c r="A593" s="43">
        <v>45931</v>
      </c>
      <c r="B593" t="s">
        <v>119</v>
      </c>
      <c r="C593" t="s">
        <v>76</v>
      </c>
      <c r="D593" s="2">
        <v>0</v>
      </c>
    </row>
    <row r="594" spans="1:4" x14ac:dyDescent="0.25">
      <c r="A594" s="43">
        <v>45962</v>
      </c>
      <c r="B594" t="s">
        <v>119</v>
      </c>
      <c r="C594" t="s">
        <v>76</v>
      </c>
      <c r="D594" s="2">
        <v>0</v>
      </c>
    </row>
    <row r="595" spans="1:4" x14ac:dyDescent="0.25">
      <c r="A595" s="43">
        <v>45992</v>
      </c>
      <c r="B595" t="s">
        <v>119</v>
      </c>
      <c r="C595" t="s">
        <v>76</v>
      </c>
      <c r="D595" s="2">
        <v>0</v>
      </c>
    </row>
    <row r="596" spans="1:4" x14ac:dyDescent="0.25">
      <c r="A596" s="43">
        <v>45689</v>
      </c>
      <c r="B596" t="s">
        <v>119</v>
      </c>
      <c r="C596" t="s">
        <v>48</v>
      </c>
      <c r="D596" s="2">
        <v>0</v>
      </c>
    </row>
    <row r="597" spans="1:4" x14ac:dyDescent="0.25">
      <c r="A597" s="43">
        <v>45717</v>
      </c>
      <c r="B597" t="s">
        <v>119</v>
      </c>
      <c r="C597" t="s">
        <v>48</v>
      </c>
      <c r="D597" s="2">
        <v>0</v>
      </c>
    </row>
    <row r="598" spans="1:4" x14ac:dyDescent="0.25">
      <c r="A598" s="43">
        <v>45748</v>
      </c>
      <c r="B598" t="s">
        <v>119</v>
      </c>
      <c r="C598" t="s">
        <v>48</v>
      </c>
      <c r="D598" s="2">
        <v>0</v>
      </c>
    </row>
    <row r="599" spans="1:4" x14ac:dyDescent="0.25">
      <c r="A599" s="43">
        <v>45778</v>
      </c>
      <c r="B599" t="s">
        <v>119</v>
      </c>
      <c r="C599" t="s">
        <v>48</v>
      </c>
      <c r="D599" s="2">
        <v>0</v>
      </c>
    </row>
    <row r="600" spans="1:4" x14ac:dyDescent="0.25">
      <c r="A600" s="43">
        <v>45809</v>
      </c>
      <c r="B600" t="s">
        <v>119</v>
      </c>
      <c r="C600" t="s">
        <v>48</v>
      </c>
      <c r="D600" s="2">
        <v>0</v>
      </c>
    </row>
    <row r="601" spans="1:4" x14ac:dyDescent="0.25">
      <c r="A601" s="43">
        <v>45839</v>
      </c>
      <c r="B601" t="s">
        <v>119</v>
      </c>
      <c r="C601" t="s">
        <v>48</v>
      </c>
      <c r="D601" s="2">
        <v>0</v>
      </c>
    </row>
    <row r="602" spans="1:4" x14ac:dyDescent="0.25">
      <c r="A602" s="43">
        <v>45870</v>
      </c>
      <c r="B602" t="s">
        <v>119</v>
      </c>
      <c r="C602" t="s">
        <v>48</v>
      </c>
      <c r="D602" s="2">
        <v>0</v>
      </c>
    </row>
    <row r="603" spans="1:4" x14ac:dyDescent="0.25">
      <c r="A603" s="43">
        <v>45901</v>
      </c>
      <c r="B603" t="s">
        <v>119</v>
      </c>
      <c r="C603" t="s">
        <v>48</v>
      </c>
      <c r="D603" s="2">
        <v>1.99</v>
      </c>
    </row>
    <row r="604" spans="1:4" x14ac:dyDescent="0.25">
      <c r="A604" s="43">
        <v>45931</v>
      </c>
      <c r="B604" t="s">
        <v>119</v>
      </c>
      <c r="C604" t="s">
        <v>48</v>
      </c>
      <c r="D604" s="2">
        <v>1.99</v>
      </c>
    </row>
    <row r="605" spans="1:4" x14ac:dyDescent="0.25">
      <c r="A605" s="43">
        <v>45962</v>
      </c>
      <c r="B605" t="s">
        <v>119</v>
      </c>
      <c r="C605" t="s">
        <v>48</v>
      </c>
      <c r="D605" s="2">
        <v>0</v>
      </c>
    </row>
    <row r="606" spans="1:4" x14ac:dyDescent="0.25">
      <c r="A606" s="43">
        <v>45992</v>
      </c>
      <c r="B606" t="s">
        <v>119</v>
      </c>
      <c r="C606" t="s">
        <v>48</v>
      </c>
      <c r="D606" s="2">
        <v>0</v>
      </c>
    </row>
    <row r="607" spans="1:4" x14ac:dyDescent="0.25">
      <c r="A607" s="43">
        <v>45689</v>
      </c>
      <c r="B607" t="s">
        <v>120</v>
      </c>
      <c r="C607" t="s">
        <v>58</v>
      </c>
      <c r="D607" s="2">
        <v>0</v>
      </c>
    </row>
    <row r="608" spans="1:4" x14ac:dyDescent="0.25">
      <c r="A608" s="43">
        <v>45717</v>
      </c>
      <c r="B608" t="s">
        <v>120</v>
      </c>
      <c r="C608" t="s">
        <v>58</v>
      </c>
      <c r="D608" s="2">
        <v>0</v>
      </c>
    </row>
    <row r="609" spans="1:4" x14ac:dyDescent="0.25">
      <c r="A609" s="43">
        <v>45748</v>
      </c>
      <c r="B609" t="s">
        <v>120</v>
      </c>
      <c r="C609" t="s">
        <v>58</v>
      </c>
      <c r="D609" s="2">
        <v>1351.02</v>
      </c>
    </row>
    <row r="610" spans="1:4" x14ac:dyDescent="0.25">
      <c r="A610" s="43">
        <v>45778</v>
      </c>
      <c r="B610" t="s">
        <v>120</v>
      </c>
      <c r="C610" t="s">
        <v>58</v>
      </c>
      <c r="D610" s="2">
        <v>1351.02</v>
      </c>
    </row>
    <row r="611" spans="1:4" x14ac:dyDescent="0.25">
      <c r="A611" s="43">
        <v>45809</v>
      </c>
      <c r="B611" t="s">
        <v>120</v>
      </c>
      <c r="C611" t="s">
        <v>58</v>
      </c>
      <c r="D611" s="2">
        <v>0</v>
      </c>
    </row>
    <row r="612" spans="1:4" x14ac:dyDescent="0.25">
      <c r="A612" s="43">
        <v>45839</v>
      </c>
      <c r="B612" t="s">
        <v>120</v>
      </c>
      <c r="C612" t="s">
        <v>58</v>
      </c>
      <c r="D612" s="2">
        <v>0</v>
      </c>
    </row>
    <row r="613" spans="1:4" x14ac:dyDescent="0.25">
      <c r="A613" s="43">
        <v>45870</v>
      </c>
      <c r="B613" t="s">
        <v>120</v>
      </c>
      <c r="C613" t="s">
        <v>58</v>
      </c>
      <c r="D613" s="2">
        <v>0</v>
      </c>
    </row>
    <row r="614" spans="1:4" x14ac:dyDescent="0.25">
      <c r="A614" s="43">
        <v>45901</v>
      </c>
      <c r="B614" t="s">
        <v>120</v>
      </c>
      <c r="C614" t="s">
        <v>58</v>
      </c>
      <c r="D614" s="2">
        <v>0</v>
      </c>
    </row>
    <row r="615" spans="1:4" x14ac:dyDescent="0.25">
      <c r="A615" s="43">
        <v>45931</v>
      </c>
      <c r="B615" t="s">
        <v>120</v>
      </c>
      <c r="C615" t="s">
        <v>58</v>
      </c>
      <c r="D615" s="2">
        <v>0</v>
      </c>
    </row>
    <row r="616" spans="1:4" x14ac:dyDescent="0.25">
      <c r="A616" s="43">
        <v>45962</v>
      </c>
      <c r="B616" t="s">
        <v>120</v>
      </c>
      <c r="C616" t="s">
        <v>58</v>
      </c>
      <c r="D616" s="2">
        <v>0</v>
      </c>
    </row>
    <row r="617" spans="1:4" x14ac:dyDescent="0.25">
      <c r="A617" s="43">
        <v>45992</v>
      </c>
      <c r="B617" t="s">
        <v>120</v>
      </c>
      <c r="C617" t="s">
        <v>58</v>
      </c>
      <c r="D617" s="2">
        <v>0</v>
      </c>
    </row>
    <row r="618" spans="1:4" x14ac:dyDescent="0.25">
      <c r="A618" s="43">
        <v>46023</v>
      </c>
      <c r="B618" t="s">
        <v>118</v>
      </c>
      <c r="C618" t="s">
        <v>42</v>
      </c>
      <c r="D618" s="2">
        <v>53.9</v>
      </c>
    </row>
    <row r="619" spans="1:4" x14ac:dyDescent="0.25">
      <c r="A619" s="43">
        <v>46054</v>
      </c>
      <c r="B619" t="s">
        <v>118</v>
      </c>
      <c r="C619" t="s">
        <v>42</v>
      </c>
      <c r="D619" s="2">
        <v>5053.8999999999996</v>
      </c>
    </row>
    <row r="620" spans="1:4" x14ac:dyDescent="0.25">
      <c r="A620" s="43">
        <v>46082</v>
      </c>
      <c r="B620" t="s">
        <v>118</v>
      </c>
      <c r="C620" t="s">
        <v>42</v>
      </c>
      <c r="D620" s="2">
        <v>50053.9</v>
      </c>
    </row>
    <row r="621" spans="1:4" x14ac:dyDescent="0.25">
      <c r="A621" s="43">
        <v>46113</v>
      </c>
      <c r="B621" t="s">
        <v>118</v>
      </c>
      <c r="C621" t="s">
        <v>42</v>
      </c>
      <c r="D621" s="2">
        <v>89517.01</v>
      </c>
    </row>
    <row r="622" spans="1:4" x14ac:dyDescent="0.25">
      <c r="A622" s="43">
        <v>46143</v>
      </c>
      <c r="B622" t="s">
        <v>118</v>
      </c>
      <c r="C622" t="s">
        <v>42</v>
      </c>
      <c r="D622" s="2">
        <v>42771.75</v>
      </c>
    </row>
    <row r="623" spans="1:4" x14ac:dyDescent="0.25">
      <c r="A623" s="43">
        <v>46174</v>
      </c>
      <c r="B623" t="s">
        <v>118</v>
      </c>
      <c r="C623" t="s">
        <v>42</v>
      </c>
      <c r="D623" s="2">
        <v>99045.68</v>
      </c>
    </row>
    <row r="624" spans="1:4" x14ac:dyDescent="0.25">
      <c r="A624" s="43">
        <v>46023</v>
      </c>
      <c r="B624" t="s">
        <v>118</v>
      </c>
      <c r="C624" t="s">
        <v>56</v>
      </c>
      <c r="D624" s="2">
        <v>0</v>
      </c>
    </row>
    <row r="625" spans="1:4" x14ac:dyDescent="0.25">
      <c r="A625" s="43">
        <v>46054</v>
      </c>
      <c r="B625" t="s">
        <v>118</v>
      </c>
      <c r="C625" t="s">
        <v>56</v>
      </c>
      <c r="D625" s="2">
        <v>0</v>
      </c>
    </row>
    <row r="626" spans="1:4" x14ac:dyDescent="0.25">
      <c r="A626" s="43">
        <v>46082</v>
      </c>
      <c r="B626" t="s">
        <v>118</v>
      </c>
      <c r="C626" t="s">
        <v>56</v>
      </c>
      <c r="D626" s="2">
        <v>0</v>
      </c>
    </row>
    <row r="627" spans="1:4" x14ac:dyDescent="0.25">
      <c r="A627" s="43">
        <v>46113</v>
      </c>
      <c r="B627" t="s">
        <v>118</v>
      </c>
      <c r="C627" t="s">
        <v>56</v>
      </c>
      <c r="D627" s="2">
        <v>7197.87</v>
      </c>
    </row>
    <row r="628" spans="1:4" x14ac:dyDescent="0.25">
      <c r="A628" s="43">
        <v>46143</v>
      </c>
      <c r="B628" t="s">
        <v>118</v>
      </c>
      <c r="C628" t="s">
        <v>56</v>
      </c>
      <c r="D628" s="2">
        <v>3319.78</v>
      </c>
    </row>
    <row r="629" spans="1:4" x14ac:dyDescent="0.25">
      <c r="A629" s="43">
        <v>46174</v>
      </c>
      <c r="B629" t="s">
        <v>118</v>
      </c>
      <c r="C629" t="s">
        <v>56</v>
      </c>
      <c r="D629" s="2">
        <v>0</v>
      </c>
    </row>
    <row r="630" spans="1:4" x14ac:dyDescent="0.25">
      <c r="A630" s="43">
        <v>46023</v>
      </c>
      <c r="B630" t="s">
        <v>118</v>
      </c>
      <c r="C630" t="s">
        <v>66</v>
      </c>
      <c r="D630" s="2">
        <v>0</v>
      </c>
    </row>
    <row r="631" spans="1:4" x14ac:dyDescent="0.25">
      <c r="A631" s="43">
        <v>46054</v>
      </c>
      <c r="B631" t="s">
        <v>118</v>
      </c>
      <c r="C631" t="s">
        <v>66</v>
      </c>
      <c r="D631" s="2">
        <v>0</v>
      </c>
    </row>
    <row r="632" spans="1:4" x14ac:dyDescent="0.25">
      <c r="A632" s="43">
        <v>46082</v>
      </c>
      <c r="B632" t="s">
        <v>118</v>
      </c>
      <c r="C632" t="s">
        <v>66</v>
      </c>
      <c r="D632" s="2">
        <v>0</v>
      </c>
    </row>
    <row r="633" spans="1:4" x14ac:dyDescent="0.25">
      <c r="A633" s="43">
        <v>46113</v>
      </c>
      <c r="B633" t="s">
        <v>118</v>
      </c>
      <c r="C633" t="s">
        <v>66</v>
      </c>
      <c r="D633" s="2">
        <v>5.07</v>
      </c>
    </row>
    <row r="634" spans="1:4" x14ac:dyDescent="0.25">
      <c r="A634" s="43">
        <v>46143</v>
      </c>
      <c r="B634" t="s">
        <v>118</v>
      </c>
      <c r="C634" t="s">
        <v>66</v>
      </c>
      <c r="D634" s="2">
        <v>400.01</v>
      </c>
    </row>
    <row r="635" spans="1:4" x14ac:dyDescent="0.25">
      <c r="A635" s="43">
        <v>46174</v>
      </c>
      <c r="B635" t="s">
        <v>118</v>
      </c>
      <c r="C635" t="s">
        <v>66</v>
      </c>
      <c r="D635" s="2">
        <v>35.49</v>
      </c>
    </row>
    <row r="636" spans="1:4" x14ac:dyDescent="0.25">
      <c r="A636" s="43">
        <v>46023</v>
      </c>
      <c r="B636" t="s">
        <v>118</v>
      </c>
      <c r="C636" t="s">
        <v>55</v>
      </c>
      <c r="D636" s="2">
        <v>0</v>
      </c>
    </row>
    <row r="637" spans="1:4" x14ac:dyDescent="0.25">
      <c r="A637" s="43">
        <v>46054</v>
      </c>
      <c r="B637" t="s">
        <v>118</v>
      </c>
      <c r="C637" t="s">
        <v>55</v>
      </c>
      <c r="D637" s="2">
        <v>0</v>
      </c>
    </row>
    <row r="638" spans="1:4" x14ac:dyDescent="0.25">
      <c r="A638" s="43">
        <v>46082</v>
      </c>
      <c r="B638" t="s">
        <v>118</v>
      </c>
      <c r="C638" t="s">
        <v>55</v>
      </c>
      <c r="D638" s="2">
        <v>0</v>
      </c>
    </row>
    <row r="639" spans="1:4" x14ac:dyDescent="0.25">
      <c r="A639" s="43">
        <v>46113</v>
      </c>
      <c r="B639" t="s">
        <v>118</v>
      </c>
      <c r="C639" t="s">
        <v>55</v>
      </c>
      <c r="D639" s="2">
        <v>0</v>
      </c>
    </row>
    <row r="640" spans="1:4" x14ac:dyDescent="0.25">
      <c r="A640" s="43">
        <v>46143</v>
      </c>
      <c r="B640" t="s">
        <v>118</v>
      </c>
      <c r="C640" t="s">
        <v>55</v>
      </c>
      <c r="D640" s="2">
        <v>0</v>
      </c>
    </row>
    <row r="641" spans="1:4" x14ac:dyDescent="0.25">
      <c r="A641" s="43">
        <v>46174</v>
      </c>
      <c r="B641" t="s">
        <v>118</v>
      </c>
      <c r="C641" t="s">
        <v>55</v>
      </c>
      <c r="D641" s="2">
        <v>200</v>
      </c>
    </row>
    <row r="642" spans="1:4" x14ac:dyDescent="0.25">
      <c r="A642" s="43">
        <v>46023</v>
      </c>
      <c r="B642" t="s">
        <v>115</v>
      </c>
      <c r="C642" t="s">
        <v>56</v>
      </c>
      <c r="D642" s="2">
        <v>0</v>
      </c>
    </row>
    <row r="643" spans="1:4" x14ac:dyDescent="0.25">
      <c r="A643" s="43">
        <v>46054</v>
      </c>
      <c r="B643" t="s">
        <v>115</v>
      </c>
      <c r="C643" t="s">
        <v>56</v>
      </c>
      <c r="D643" s="2">
        <v>25653.61</v>
      </c>
    </row>
    <row r="644" spans="1:4" x14ac:dyDescent="0.25">
      <c r="A644" s="43">
        <v>46082</v>
      </c>
      <c r="B644" t="s">
        <v>115</v>
      </c>
      <c r="C644" t="s">
        <v>56</v>
      </c>
      <c r="D644" s="2">
        <v>8500</v>
      </c>
    </row>
    <row r="645" spans="1:4" x14ac:dyDescent="0.25">
      <c r="A645" s="43">
        <v>46113</v>
      </c>
      <c r="B645" t="s">
        <v>115</v>
      </c>
      <c r="C645" t="s">
        <v>56</v>
      </c>
      <c r="D645" s="2">
        <v>7804.99</v>
      </c>
    </row>
    <row r="646" spans="1:4" x14ac:dyDescent="0.25">
      <c r="A646" s="43">
        <v>46143</v>
      </c>
      <c r="B646" t="s">
        <v>115</v>
      </c>
      <c r="C646" t="s">
        <v>56</v>
      </c>
      <c r="D646" s="2">
        <v>21091.68</v>
      </c>
    </row>
    <row r="647" spans="1:4" x14ac:dyDescent="0.25">
      <c r="A647" s="43">
        <v>46174</v>
      </c>
      <c r="B647" t="s">
        <v>115</v>
      </c>
      <c r="C647" t="s">
        <v>56</v>
      </c>
      <c r="D647" s="2">
        <v>1127.5</v>
      </c>
    </row>
    <row r="648" spans="1:4" x14ac:dyDescent="0.25">
      <c r="A648" s="43">
        <v>46023</v>
      </c>
      <c r="B648" t="s">
        <v>115</v>
      </c>
      <c r="C648" t="s">
        <v>42</v>
      </c>
      <c r="D648" s="2">
        <v>6000</v>
      </c>
    </row>
    <row r="649" spans="1:4" x14ac:dyDescent="0.25">
      <c r="A649" s="43">
        <v>46054</v>
      </c>
      <c r="B649" t="s">
        <v>115</v>
      </c>
      <c r="C649" t="s">
        <v>42</v>
      </c>
      <c r="D649" s="2">
        <v>5000</v>
      </c>
    </row>
    <row r="650" spans="1:4" x14ac:dyDescent="0.25">
      <c r="A650" s="43">
        <v>46082</v>
      </c>
      <c r="B650" t="s">
        <v>115</v>
      </c>
      <c r="C650" t="s">
        <v>42</v>
      </c>
      <c r="D650" s="2">
        <v>14000</v>
      </c>
    </row>
    <row r="651" spans="1:4" x14ac:dyDescent="0.25">
      <c r="A651" s="43">
        <v>46113</v>
      </c>
      <c r="B651" t="s">
        <v>115</v>
      </c>
      <c r="C651" t="s">
        <v>42</v>
      </c>
      <c r="D651" s="2">
        <v>0</v>
      </c>
    </row>
    <row r="652" spans="1:4" x14ac:dyDescent="0.25">
      <c r="A652" s="43">
        <v>46143</v>
      </c>
      <c r="B652" t="s">
        <v>115</v>
      </c>
      <c r="C652" t="s">
        <v>42</v>
      </c>
      <c r="D652" s="2">
        <v>8000</v>
      </c>
    </row>
    <row r="653" spans="1:4" x14ac:dyDescent="0.25">
      <c r="A653" s="43">
        <v>46174</v>
      </c>
      <c r="B653" t="s">
        <v>115</v>
      </c>
      <c r="C653" t="s">
        <v>42</v>
      </c>
      <c r="D653" s="2">
        <v>0</v>
      </c>
    </row>
    <row r="654" spans="1:4" x14ac:dyDescent="0.25">
      <c r="A654" s="43">
        <v>46023</v>
      </c>
      <c r="B654" t="s">
        <v>115</v>
      </c>
      <c r="C654" t="s">
        <v>79</v>
      </c>
      <c r="D654" s="2">
        <v>0</v>
      </c>
    </row>
    <row r="655" spans="1:4" x14ac:dyDescent="0.25">
      <c r="A655" s="43">
        <v>46054</v>
      </c>
      <c r="B655" t="s">
        <v>115</v>
      </c>
      <c r="C655" t="s">
        <v>79</v>
      </c>
      <c r="D655" s="2">
        <v>0</v>
      </c>
    </row>
    <row r="656" spans="1:4" x14ac:dyDescent="0.25">
      <c r="A656" s="43">
        <v>46082</v>
      </c>
      <c r="B656" t="s">
        <v>115</v>
      </c>
      <c r="C656" t="s">
        <v>79</v>
      </c>
      <c r="D656" s="2">
        <v>16816.759999999998</v>
      </c>
    </row>
    <row r="657" spans="1:4" x14ac:dyDescent="0.25">
      <c r="A657" s="43">
        <v>46113</v>
      </c>
      <c r="B657" t="s">
        <v>115</v>
      </c>
      <c r="C657" t="s">
        <v>79</v>
      </c>
      <c r="D657" s="2">
        <v>0</v>
      </c>
    </row>
    <row r="658" spans="1:4" x14ac:dyDescent="0.25">
      <c r="A658" s="43">
        <v>46143</v>
      </c>
      <c r="B658" t="s">
        <v>115</v>
      </c>
      <c r="C658" t="s">
        <v>79</v>
      </c>
      <c r="D658" s="2">
        <v>0</v>
      </c>
    </row>
    <row r="659" spans="1:4" x14ac:dyDescent="0.25">
      <c r="A659" s="43">
        <v>46174</v>
      </c>
      <c r="B659" t="s">
        <v>115</v>
      </c>
      <c r="C659" t="s">
        <v>79</v>
      </c>
      <c r="D659" s="2">
        <v>0</v>
      </c>
    </row>
    <row r="660" spans="1:4" x14ac:dyDescent="0.25">
      <c r="A660" s="43">
        <v>46023</v>
      </c>
      <c r="B660" t="s">
        <v>115</v>
      </c>
      <c r="C660" t="s">
        <v>47</v>
      </c>
      <c r="D660" s="2">
        <v>2627.17</v>
      </c>
    </row>
    <row r="661" spans="1:4" x14ac:dyDescent="0.25">
      <c r="A661" s="43">
        <v>46054</v>
      </c>
      <c r="B661" t="s">
        <v>115</v>
      </c>
      <c r="C661" t="s">
        <v>47</v>
      </c>
      <c r="D661" s="2">
        <v>1590.49</v>
      </c>
    </row>
    <row r="662" spans="1:4" x14ac:dyDescent="0.25">
      <c r="A662" s="43">
        <v>46082</v>
      </c>
      <c r="B662" t="s">
        <v>115</v>
      </c>
      <c r="C662" t="s">
        <v>47</v>
      </c>
      <c r="D662" s="2">
        <v>4128.1099999999997</v>
      </c>
    </row>
    <row r="663" spans="1:4" x14ac:dyDescent="0.25">
      <c r="A663" s="43">
        <v>46113</v>
      </c>
      <c r="B663" t="s">
        <v>115</v>
      </c>
      <c r="C663" t="s">
        <v>47</v>
      </c>
      <c r="D663" s="2">
        <v>1937.95</v>
      </c>
    </row>
    <row r="664" spans="1:4" x14ac:dyDescent="0.25">
      <c r="A664" s="43">
        <v>46143</v>
      </c>
      <c r="B664" t="s">
        <v>115</v>
      </c>
      <c r="C664" t="s">
        <v>47</v>
      </c>
      <c r="D664" s="2">
        <v>1825.35</v>
      </c>
    </row>
    <row r="665" spans="1:4" x14ac:dyDescent="0.25">
      <c r="A665" s="43">
        <v>46174</v>
      </c>
      <c r="B665" t="s">
        <v>115</v>
      </c>
      <c r="C665" t="s">
        <v>47</v>
      </c>
      <c r="D665" s="2">
        <v>1243.1600000000001</v>
      </c>
    </row>
    <row r="666" spans="1:4" x14ac:dyDescent="0.25">
      <c r="A666" s="43">
        <v>46023</v>
      </c>
      <c r="B666" t="s">
        <v>115</v>
      </c>
      <c r="C666" t="s">
        <v>80</v>
      </c>
      <c r="D666" s="2">
        <v>2927.68</v>
      </c>
    </row>
    <row r="667" spans="1:4" x14ac:dyDescent="0.25">
      <c r="A667" s="43">
        <v>46054</v>
      </c>
      <c r="B667" t="s">
        <v>115</v>
      </c>
      <c r="C667" t="s">
        <v>80</v>
      </c>
      <c r="D667" s="2">
        <v>0</v>
      </c>
    </row>
    <row r="668" spans="1:4" x14ac:dyDescent="0.25">
      <c r="A668" s="43">
        <v>46082</v>
      </c>
      <c r="B668" t="s">
        <v>115</v>
      </c>
      <c r="C668" t="s">
        <v>80</v>
      </c>
      <c r="D668" s="2">
        <v>5800</v>
      </c>
    </row>
    <row r="669" spans="1:4" x14ac:dyDescent="0.25">
      <c r="A669" s="43">
        <v>46113</v>
      </c>
      <c r="B669" t="s">
        <v>115</v>
      </c>
      <c r="C669" t="s">
        <v>80</v>
      </c>
      <c r="D669" s="2">
        <v>543.32000000000005</v>
      </c>
    </row>
    <row r="670" spans="1:4" x14ac:dyDescent="0.25">
      <c r="A670" s="43">
        <v>46143</v>
      </c>
      <c r="B670" t="s">
        <v>115</v>
      </c>
      <c r="C670" t="s">
        <v>80</v>
      </c>
      <c r="D670" s="2">
        <v>902.79</v>
      </c>
    </row>
    <row r="671" spans="1:4" x14ac:dyDescent="0.25">
      <c r="A671" s="43">
        <v>46174</v>
      </c>
      <c r="B671" t="s">
        <v>115</v>
      </c>
      <c r="C671" t="s">
        <v>80</v>
      </c>
      <c r="D671" s="2">
        <v>970.59</v>
      </c>
    </row>
    <row r="672" spans="1:4" x14ac:dyDescent="0.25">
      <c r="A672" s="43">
        <v>46023</v>
      </c>
      <c r="B672" t="s">
        <v>115</v>
      </c>
      <c r="C672" t="s">
        <v>58</v>
      </c>
      <c r="D672" s="2">
        <v>1351.02</v>
      </c>
    </row>
    <row r="673" spans="1:4" x14ac:dyDescent="0.25">
      <c r="A673" s="43">
        <v>46054</v>
      </c>
      <c r="B673" t="s">
        <v>115</v>
      </c>
      <c r="C673" t="s">
        <v>58</v>
      </c>
      <c r="D673" s="2">
        <v>1351.02</v>
      </c>
    </row>
    <row r="674" spans="1:4" x14ac:dyDescent="0.25">
      <c r="A674" s="43">
        <v>46082</v>
      </c>
      <c r="B674" t="s">
        <v>115</v>
      </c>
      <c r="C674" t="s">
        <v>58</v>
      </c>
      <c r="D674" s="2">
        <v>1351.02</v>
      </c>
    </row>
    <row r="675" spans="1:4" x14ac:dyDescent="0.25">
      <c r="A675" s="43">
        <v>46113</v>
      </c>
      <c r="B675" t="s">
        <v>115</v>
      </c>
      <c r="C675" t="s">
        <v>58</v>
      </c>
      <c r="D675" s="2">
        <v>1442.69</v>
      </c>
    </row>
    <row r="676" spans="1:4" x14ac:dyDescent="0.25">
      <c r="A676" s="43">
        <v>46143</v>
      </c>
      <c r="B676" t="s">
        <v>115</v>
      </c>
      <c r="C676" t="s">
        <v>58</v>
      </c>
      <c r="D676" s="2">
        <v>1442.69</v>
      </c>
    </row>
    <row r="677" spans="1:4" x14ac:dyDescent="0.25">
      <c r="A677" s="43">
        <v>46174</v>
      </c>
      <c r="B677" t="s">
        <v>115</v>
      </c>
      <c r="C677" t="s">
        <v>58</v>
      </c>
      <c r="D677" s="2">
        <v>1442.69</v>
      </c>
    </row>
    <row r="678" spans="1:4" x14ac:dyDescent="0.25">
      <c r="A678" s="43">
        <v>46023</v>
      </c>
      <c r="B678" t="s">
        <v>115</v>
      </c>
      <c r="C678" t="s">
        <v>18</v>
      </c>
      <c r="D678" s="2">
        <v>2674.3</v>
      </c>
    </row>
    <row r="679" spans="1:4" x14ac:dyDescent="0.25">
      <c r="A679" s="43">
        <v>46054</v>
      </c>
      <c r="B679" t="s">
        <v>115</v>
      </c>
      <c r="C679" t="s">
        <v>18</v>
      </c>
      <c r="D679" s="2">
        <v>2185</v>
      </c>
    </row>
    <row r="680" spans="1:4" x14ac:dyDescent="0.25">
      <c r="A680" s="43">
        <v>46082</v>
      </c>
      <c r="B680" t="s">
        <v>115</v>
      </c>
      <c r="C680" t="s">
        <v>18</v>
      </c>
      <c r="D680" s="2">
        <v>2330.35</v>
      </c>
    </row>
    <row r="681" spans="1:4" x14ac:dyDescent="0.25">
      <c r="A681" s="43">
        <v>46113</v>
      </c>
      <c r="B681" t="s">
        <v>115</v>
      </c>
      <c r="C681" t="s">
        <v>18</v>
      </c>
      <c r="D681" s="2">
        <v>2185</v>
      </c>
    </row>
    <row r="682" spans="1:4" x14ac:dyDescent="0.25">
      <c r="A682" s="43">
        <v>46143</v>
      </c>
      <c r="B682" t="s">
        <v>115</v>
      </c>
      <c r="C682" t="s">
        <v>18</v>
      </c>
      <c r="D682" s="2">
        <v>195.55</v>
      </c>
    </row>
    <row r="683" spans="1:4" x14ac:dyDescent="0.25">
      <c r="A683" s="43">
        <v>46174</v>
      </c>
      <c r="B683" t="s">
        <v>115</v>
      </c>
      <c r="C683" t="s">
        <v>18</v>
      </c>
      <c r="D683" s="2">
        <v>0</v>
      </c>
    </row>
    <row r="684" spans="1:4" x14ac:dyDescent="0.25">
      <c r="A684" s="43">
        <v>46023</v>
      </c>
      <c r="B684" t="s">
        <v>115</v>
      </c>
      <c r="C684" t="s">
        <v>65</v>
      </c>
      <c r="D684" s="2">
        <v>1900</v>
      </c>
    </row>
    <row r="685" spans="1:4" x14ac:dyDescent="0.25">
      <c r="A685" s="43">
        <v>46054</v>
      </c>
      <c r="B685" t="s">
        <v>115</v>
      </c>
      <c r="C685" t="s">
        <v>65</v>
      </c>
      <c r="D685" s="2">
        <v>26.25</v>
      </c>
    </row>
    <row r="686" spans="1:4" x14ac:dyDescent="0.25">
      <c r="A686" s="43">
        <v>46082</v>
      </c>
      <c r="B686" t="s">
        <v>115</v>
      </c>
      <c r="C686" t="s">
        <v>65</v>
      </c>
      <c r="D686" s="2">
        <v>0</v>
      </c>
    </row>
    <row r="687" spans="1:4" x14ac:dyDescent="0.25">
      <c r="A687" s="43">
        <v>46113</v>
      </c>
      <c r="B687" t="s">
        <v>115</v>
      </c>
      <c r="C687" t="s">
        <v>65</v>
      </c>
      <c r="D687" s="2">
        <v>2530</v>
      </c>
    </row>
    <row r="688" spans="1:4" x14ac:dyDescent="0.25">
      <c r="A688" s="43">
        <v>46143</v>
      </c>
      <c r="B688" t="s">
        <v>115</v>
      </c>
      <c r="C688" t="s">
        <v>65</v>
      </c>
      <c r="D688" s="2">
        <v>219.8</v>
      </c>
    </row>
    <row r="689" spans="1:4" x14ac:dyDescent="0.25">
      <c r="A689" s="43">
        <v>46174</v>
      </c>
      <c r="B689" t="s">
        <v>115</v>
      </c>
      <c r="C689" t="s">
        <v>65</v>
      </c>
      <c r="D689" s="2">
        <v>0</v>
      </c>
    </row>
    <row r="690" spans="1:4" x14ac:dyDescent="0.25">
      <c r="A690" s="43">
        <v>46023</v>
      </c>
      <c r="B690" t="s">
        <v>115</v>
      </c>
      <c r="C690" t="s">
        <v>68</v>
      </c>
      <c r="D690" s="2">
        <v>0</v>
      </c>
    </row>
    <row r="691" spans="1:4" x14ac:dyDescent="0.25">
      <c r="A691" s="43">
        <v>46054</v>
      </c>
      <c r="B691" t="s">
        <v>115</v>
      </c>
      <c r="C691" t="s">
        <v>68</v>
      </c>
      <c r="D691" s="2">
        <v>0</v>
      </c>
    </row>
    <row r="692" spans="1:4" x14ac:dyDescent="0.25">
      <c r="A692" s="43">
        <v>46082</v>
      </c>
      <c r="B692" t="s">
        <v>115</v>
      </c>
      <c r="C692" t="s">
        <v>68</v>
      </c>
      <c r="D692" s="2">
        <v>1500</v>
      </c>
    </row>
    <row r="693" spans="1:4" x14ac:dyDescent="0.25">
      <c r="A693" s="43">
        <v>46113</v>
      </c>
      <c r="B693" t="s">
        <v>115</v>
      </c>
      <c r="C693" t="s">
        <v>68</v>
      </c>
      <c r="D693" s="2">
        <v>650</v>
      </c>
    </row>
    <row r="694" spans="1:4" x14ac:dyDescent="0.25">
      <c r="A694" s="43">
        <v>46143</v>
      </c>
      <c r="B694" t="s">
        <v>115</v>
      </c>
      <c r="C694" t="s">
        <v>68</v>
      </c>
      <c r="D694" s="2">
        <v>0</v>
      </c>
    </row>
    <row r="695" spans="1:4" x14ac:dyDescent="0.25">
      <c r="A695" s="43">
        <v>46174</v>
      </c>
      <c r="B695" t="s">
        <v>115</v>
      </c>
      <c r="C695" t="s">
        <v>68</v>
      </c>
      <c r="D695" s="2">
        <v>0</v>
      </c>
    </row>
    <row r="696" spans="1:4" x14ac:dyDescent="0.25">
      <c r="A696" s="43">
        <v>46023</v>
      </c>
      <c r="B696" t="s">
        <v>115</v>
      </c>
      <c r="C696" t="s">
        <v>74</v>
      </c>
      <c r="D696" s="2">
        <v>91.43</v>
      </c>
    </row>
    <row r="697" spans="1:4" x14ac:dyDescent="0.25">
      <c r="A697" s="43">
        <v>46054</v>
      </c>
      <c r="B697" t="s">
        <v>115</v>
      </c>
      <c r="C697" t="s">
        <v>74</v>
      </c>
      <c r="D697" s="2">
        <v>195.2</v>
      </c>
    </row>
    <row r="698" spans="1:4" x14ac:dyDescent="0.25">
      <c r="A698" s="43">
        <v>46082</v>
      </c>
      <c r="B698" t="s">
        <v>115</v>
      </c>
      <c r="C698" t="s">
        <v>74</v>
      </c>
      <c r="D698" s="2">
        <v>853.02</v>
      </c>
    </row>
    <row r="699" spans="1:4" x14ac:dyDescent="0.25">
      <c r="A699" s="43">
        <v>46113</v>
      </c>
      <c r="B699" t="s">
        <v>115</v>
      </c>
      <c r="C699" t="s">
        <v>74</v>
      </c>
      <c r="D699" s="2">
        <v>699.72</v>
      </c>
    </row>
    <row r="700" spans="1:4" x14ac:dyDescent="0.25">
      <c r="A700" s="43">
        <v>46143</v>
      </c>
      <c r="B700" t="s">
        <v>115</v>
      </c>
      <c r="C700" t="s">
        <v>74</v>
      </c>
      <c r="D700" s="2">
        <v>31.43</v>
      </c>
    </row>
    <row r="701" spans="1:4" x14ac:dyDescent="0.25">
      <c r="A701" s="43">
        <v>46174</v>
      </c>
      <c r="B701" t="s">
        <v>115</v>
      </c>
      <c r="C701" t="s">
        <v>74</v>
      </c>
      <c r="D701" s="2">
        <v>109.32</v>
      </c>
    </row>
    <row r="702" spans="1:4" x14ac:dyDescent="0.25">
      <c r="A702" s="43">
        <v>46023</v>
      </c>
      <c r="B702" t="s">
        <v>115</v>
      </c>
      <c r="C702" t="s">
        <v>78</v>
      </c>
      <c r="D702" s="2">
        <v>0</v>
      </c>
    </row>
    <row r="703" spans="1:4" x14ac:dyDescent="0.25">
      <c r="A703" s="43">
        <v>46054</v>
      </c>
      <c r="B703" t="s">
        <v>115</v>
      </c>
      <c r="C703" t="s">
        <v>78</v>
      </c>
      <c r="D703" s="2">
        <v>0</v>
      </c>
    </row>
    <row r="704" spans="1:4" x14ac:dyDescent="0.25">
      <c r="A704" s="43">
        <v>46082</v>
      </c>
      <c r="B704" t="s">
        <v>115</v>
      </c>
      <c r="C704" t="s">
        <v>78</v>
      </c>
      <c r="D704" s="2">
        <v>1350</v>
      </c>
    </row>
    <row r="705" spans="1:4" x14ac:dyDescent="0.25">
      <c r="A705" s="43">
        <v>46113</v>
      </c>
      <c r="B705" t="s">
        <v>115</v>
      </c>
      <c r="C705" t="s">
        <v>78</v>
      </c>
      <c r="D705" s="2">
        <v>0</v>
      </c>
    </row>
    <row r="706" spans="1:4" x14ac:dyDescent="0.25">
      <c r="A706" s="43">
        <v>46143</v>
      </c>
      <c r="B706" t="s">
        <v>115</v>
      </c>
      <c r="C706" t="s">
        <v>78</v>
      </c>
      <c r="D706" s="2">
        <v>0</v>
      </c>
    </row>
    <row r="707" spans="1:4" x14ac:dyDescent="0.25">
      <c r="A707" s="43">
        <v>46174</v>
      </c>
      <c r="B707" t="s">
        <v>115</v>
      </c>
      <c r="C707" t="s">
        <v>78</v>
      </c>
      <c r="D707" s="2">
        <v>0</v>
      </c>
    </row>
    <row r="708" spans="1:4" x14ac:dyDescent="0.25">
      <c r="A708" s="43">
        <v>46023</v>
      </c>
      <c r="B708" t="s">
        <v>115</v>
      </c>
      <c r="C708" t="s">
        <v>70</v>
      </c>
      <c r="D708" s="2">
        <v>750</v>
      </c>
    </row>
    <row r="709" spans="1:4" x14ac:dyDescent="0.25">
      <c r="A709" s="43">
        <v>46054</v>
      </c>
      <c r="B709" t="s">
        <v>115</v>
      </c>
      <c r="C709" t="s">
        <v>70</v>
      </c>
      <c r="D709" s="2">
        <v>0</v>
      </c>
    </row>
    <row r="710" spans="1:4" x14ac:dyDescent="0.25">
      <c r="A710" s="43">
        <v>46082</v>
      </c>
      <c r="B710" t="s">
        <v>115</v>
      </c>
      <c r="C710" t="s">
        <v>70</v>
      </c>
      <c r="D710" s="2">
        <v>0</v>
      </c>
    </row>
    <row r="711" spans="1:4" x14ac:dyDescent="0.25">
      <c r="A711" s="43">
        <v>46113</v>
      </c>
      <c r="B711" t="s">
        <v>115</v>
      </c>
      <c r="C711" t="s">
        <v>70</v>
      </c>
      <c r="D711" s="2">
        <v>0</v>
      </c>
    </row>
    <row r="712" spans="1:4" x14ac:dyDescent="0.25">
      <c r="A712" s="43">
        <v>46143</v>
      </c>
      <c r="B712" t="s">
        <v>115</v>
      </c>
      <c r="C712" t="s">
        <v>70</v>
      </c>
      <c r="D712" s="2">
        <v>0</v>
      </c>
    </row>
    <row r="713" spans="1:4" x14ac:dyDescent="0.25">
      <c r="A713" s="43">
        <v>46174</v>
      </c>
      <c r="B713" t="s">
        <v>115</v>
      </c>
      <c r="C713" t="s">
        <v>70</v>
      </c>
      <c r="D713" s="2">
        <v>569</v>
      </c>
    </row>
    <row r="714" spans="1:4" x14ac:dyDescent="0.25">
      <c r="A714" s="43">
        <v>46023</v>
      </c>
      <c r="B714" t="s">
        <v>115</v>
      </c>
      <c r="C714" t="s">
        <v>55</v>
      </c>
      <c r="D714" s="2">
        <v>439.6</v>
      </c>
    </row>
    <row r="715" spans="1:4" x14ac:dyDescent="0.25">
      <c r="A715" s="43">
        <v>46054</v>
      </c>
      <c r="B715" t="s">
        <v>115</v>
      </c>
      <c r="C715" t="s">
        <v>55</v>
      </c>
      <c r="D715" s="2">
        <v>49.04</v>
      </c>
    </row>
    <row r="716" spans="1:4" x14ac:dyDescent="0.25">
      <c r="A716" s="43">
        <v>46082</v>
      </c>
      <c r="B716" t="s">
        <v>115</v>
      </c>
      <c r="C716" t="s">
        <v>55</v>
      </c>
      <c r="D716" s="2">
        <v>49.03</v>
      </c>
    </row>
    <row r="717" spans="1:4" x14ac:dyDescent="0.25">
      <c r="A717" s="43">
        <v>46113</v>
      </c>
      <c r="B717" t="s">
        <v>115</v>
      </c>
      <c r="C717" t="s">
        <v>55</v>
      </c>
      <c r="D717" s="2">
        <v>197.08</v>
      </c>
    </row>
    <row r="718" spans="1:4" x14ac:dyDescent="0.25">
      <c r="A718" s="43">
        <v>46143</v>
      </c>
      <c r="B718" t="s">
        <v>115</v>
      </c>
      <c r="C718" t="s">
        <v>55</v>
      </c>
      <c r="D718" s="2">
        <v>0</v>
      </c>
    </row>
    <row r="719" spans="1:4" x14ac:dyDescent="0.25">
      <c r="A719" s="43">
        <v>46174</v>
      </c>
      <c r="B719" t="s">
        <v>115</v>
      </c>
      <c r="C719" t="s">
        <v>55</v>
      </c>
      <c r="D719" s="2">
        <v>0</v>
      </c>
    </row>
    <row r="720" spans="1:4" x14ac:dyDescent="0.25">
      <c r="A720" s="43">
        <v>46023</v>
      </c>
      <c r="B720" t="s">
        <v>115</v>
      </c>
      <c r="C720" t="s">
        <v>76</v>
      </c>
      <c r="D720" s="2">
        <v>0</v>
      </c>
    </row>
    <row r="721" spans="1:4" x14ac:dyDescent="0.25">
      <c r="A721" s="43">
        <v>46054</v>
      </c>
      <c r="B721" t="s">
        <v>115</v>
      </c>
      <c r="C721" t="s">
        <v>76</v>
      </c>
      <c r="D721" s="2">
        <v>0</v>
      </c>
    </row>
    <row r="722" spans="1:4" x14ac:dyDescent="0.25">
      <c r="A722" s="43">
        <v>46082</v>
      </c>
      <c r="B722" t="s">
        <v>115</v>
      </c>
      <c r="C722" t="s">
        <v>76</v>
      </c>
      <c r="D722" s="2">
        <v>0</v>
      </c>
    </row>
    <row r="723" spans="1:4" x14ac:dyDescent="0.25">
      <c r="A723" s="43">
        <v>46113</v>
      </c>
      <c r="B723" t="s">
        <v>115</v>
      </c>
      <c r="C723" t="s">
        <v>76</v>
      </c>
      <c r="D723" s="2">
        <v>0</v>
      </c>
    </row>
    <row r="724" spans="1:4" x14ac:dyDescent="0.25">
      <c r="A724" s="43">
        <v>46143</v>
      </c>
      <c r="B724" t="s">
        <v>115</v>
      </c>
      <c r="C724" t="s">
        <v>76</v>
      </c>
      <c r="D724" s="2">
        <v>281.08</v>
      </c>
    </row>
    <row r="725" spans="1:4" x14ac:dyDescent="0.25">
      <c r="A725" s="43">
        <v>46174</v>
      </c>
      <c r="B725" t="s">
        <v>115</v>
      </c>
      <c r="C725" t="s">
        <v>76</v>
      </c>
      <c r="D725" s="2">
        <v>0</v>
      </c>
    </row>
    <row r="726" spans="1:4" x14ac:dyDescent="0.25">
      <c r="A726" s="43">
        <v>46023</v>
      </c>
      <c r="B726" t="s">
        <v>115</v>
      </c>
      <c r="C726" t="s">
        <v>71</v>
      </c>
      <c r="D726" s="2">
        <v>10</v>
      </c>
    </row>
    <row r="727" spans="1:4" x14ac:dyDescent="0.25">
      <c r="A727" s="43">
        <v>46054</v>
      </c>
      <c r="B727" t="s">
        <v>115</v>
      </c>
      <c r="C727" t="s">
        <v>71</v>
      </c>
      <c r="D727" s="2">
        <v>0</v>
      </c>
    </row>
    <row r="728" spans="1:4" x14ac:dyDescent="0.25">
      <c r="A728" s="43">
        <v>46082</v>
      </c>
      <c r="B728" t="s">
        <v>115</v>
      </c>
      <c r="C728" t="s">
        <v>71</v>
      </c>
      <c r="D728" s="2">
        <v>157.97</v>
      </c>
    </row>
    <row r="729" spans="1:4" x14ac:dyDescent="0.25">
      <c r="A729" s="43">
        <v>46113</v>
      </c>
      <c r="B729" t="s">
        <v>115</v>
      </c>
      <c r="C729" t="s">
        <v>71</v>
      </c>
      <c r="D729" s="2">
        <v>0</v>
      </c>
    </row>
    <row r="730" spans="1:4" x14ac:dyDescent="0.25">
      <c r="A730" s="43">
        <v>46143</v>
      </c>
      <c r="B730" t="s">
        <v>115</v>
      </c>
      <c r="C730" t="s">
        <v>71</v>
      </c>
      <c r="D730" s="2">
        <v>26.59</v>
      </c>
    </row>
    <row r="731" spans="1:4" x14ac:dyDescent="0.25">
      <c r="A731" s="43">
        <v>46174</v>
      </c>
      <c r="B731" t="s">
        <v>115</v>
      </c>
      <c r="C731" t="s">
        <v>71</v>
      </c>
      <c r="D731" s="2">
        <v>19.850000000000001</v>
      </c>
    </row>
    <row r="732" spans="1:4" x14ac:dyDescent="0.25">
      <c r="A732" s="43">
        <v>46023</v>
      </c>
      <c r="B732" t="s">
        <v>115</v>
      </c>
      <c r="C732" t="s">
        <v>61</v>
      </c>
      <c r="D732" s="2">
        <v>0</v>
      </c>
    </row>
    <row r="733" spans="1:4" x14ac:dyDescent="0.25">
      <c r="A733" s="43">
        <v>46054</v>
      </c>
      <c r="B733" t="s">
        <v>115</v>
      </c>
      <c r="C733" t="s">
        <v>61</v>
      </c>
      <c r="D733" s="2">
        <v>0</v>
      </c>
    </row>
    <row r="734" spans="1:4" x14ac:dyDescent="0.25">
      <c r="A734" s="43">
        <v>46082</v>
      </c>
      <c r="B734" t="s">
        <v>115</v>
      </c>
      <c r="C734" t="s">
        <v>61</v>
      </c>
      <c r="D734" s="2">
        <v>0</v>
      </c>
    </row>
    <row r="735" spans="1:4" x14ac:dyDescent="0.25">
      <c r="A735" s="43">
        <v>46113</v>
      </c>
      <c r="B735" t="s">
        <v>115</v>
      </c>
      <c r="C735" t="s">
        <v>61</v>
      </c>
      <c r="D735" s="2">
        <v>250</v>
      </c>
    </row>
    <row r="736" spans="1:4" x14ac:dyDescent="0.25">
      <c r="A736" s="43">
        <v>46143</v>
      </c>
      <c r="B736" t="s">
        <v>115</v>
      </c>
      <c r="C736" t="s">
        <v>61</v>
      </c>
      <c r="D736" s="2">
        <v>0</v>
      </c>
    </row>
    <row r="737" spans="1:4" x14ac:dyDescent="0.25">
      <c r="A737" s="43">
        <v>46174</v>
      </c>
      <c r="B737" t="s">
        <v>115</v>
      </c>
      <c r="C737" t="s">
        <v>61</v>
      </c>
      <c r="D737" s="2">
        <v>0</v>
      </c>
    </row>
    <row r="738" spans="1:4" x14ac:dyDescent="0.25">
      <c r="A738" s="43">
        <v>46023</v>
      </c>
      <c r="B738" t="s">
        <v>115</v>
      </c>
      <c r="C738" t="s">
        <v>60</v>
      </c>
      <c r="D738" s="2">
        <v>0</v>
      </c>
    </row>
    <row r="739" spans="1:4" x14ac:dyDescent="0.25">
      <c r="A739" s="43">
        <v>46054</v>
      </c>
      <c r="B739" t="s">
        <v>115</v>
      </c>
      <c r="C739" t="s">
        <v>60</v>
      </c>
      <c r="D739" s="2">
        <v>0</v>
      </c>
    </row>
    <row r="740" spans="1:4" x14ac:dyDescent="0.25">
      <c r="A740" s="43">
        <v>46082</v>
      </c>
      <c r="B740" t="s">
        <v>115</v>
      </c>
      <c r="C740" t="s">
        <v>60</v>
      </c>
      <c r="D740" s="2">
        <v>0</v>
      </c>
    </row>
    <row r="741" spans="1:4" x14ac:dyDescent="0.25">
      <c r="A741" s="43">
        <v>46113</v>
      </c>
      <c r="B741" t="s">
        <v>115</v>
      </c>
      <c r="C741" t="s">
        <v>60</v>
      </c>
      <c r="D741" s="2">
        <v>0</v>
      </c>
    </row>
    <row r="742" spans="1:4" x14ac:dyDescent="0.25">
      <c r="A742" s="43">
        <v>46143</v>
      </c>
      <c r="B742" t="s">
        <v>115</v>
      </c>
      <c r="C742" t="s">
        <v>60</v>
      </c>
      <c r="D742" s="2">
        <v>227.48</v>
      </c>
    </row>
    <row r="743" spans="1:4" x14ac:dyDescent="0.25">
      <c r="A743" s="43">
        <v>46174</v>
      </c>
      <c r="B743" t="s">
        <v>115</v>
      </c>
      <c r="C743" t="s">
        <v>60</v>
      </c>
      <c r="D743" s="2">
        <v>0</v>
      </c>
    </row>
    <row r="744" spans="1:4" x14ac:dyDescent="0.25">
      <c r="A744" s="43">
        <v>46023</v>
      </c>
      <c r="B744" t="s">
        <v>115</v>
      </c>
      <c r="C744" t="s">
        <v>44</v>
      </c>
      <c r="D744" s="2">
        <v>0</v>
      </c>
    </row>
    <row r="745" spans="1:4" x14ac:dyDescent="0.25">
      <c r="A745" s="43">
        <v>46054</v>
      </c>
      <c r="B745" t="s">
        <v>115</v>
      </c>
      <c r="C745" t="s">
        <v>44</v>
      </c>
      <c r="D745" s="2">
        <v>0</v>
      </c>
    </row>
    <row r="746" spans="1:4" x14ac:dyDescent="0.25">
      <c r="A746" s="43">
        <v>46082</v>
      </c>
      <c r="B746" t="s">
        <v>115</v>
      </c>
      <c r="C746" t="s">
        <v>44</v>
      </c>
      <c r="D746" s="2">
        <v>188</v>
      </c>
    </row>
    <row r="747" spans="1:4" x14ac:dyDescent="0.25">
      <c r="A747" s="43">
        <v>46113</v>
      </c>
      <c r="B747" t="s">
        <v>115</v>
      </c>
      <c r="C747" t="s">
        <v>44</v>
      </c>
      <c r="D747" s="2">
        <v>0</v>
      </c>
    </row>
    <row r="748" spans="1:4" x14ac:dyDescent="0.25">
      <c r="A748" s="43">
        <v>46143</v>
      </c>
      <c r="B748" t="s">
        <v>115</v>
      </c>
      <c r="C748" t="s">
        <v>44</v>
      </c>
      <c r="D748" s="2">
        <v>0</v>
      </c>
    </row>
    <row r="749" spans="1:4" x14ac:dyDescent="0.25">
      <c r="A749" s="43">
        <v>46174</v>
      </c>
      <c r="B749" t="s">
        <v>115</v>
      </c>
      <c r="C749" t="s">
        <v>44</v>
      </c>
      <c r="D749" s="2">
        <v>0</v>
      </c>
    </row>
    <row r="750" spans="1:4" x14ac:dyDescent="0.25">
      <c r="A750" s="43">
        <v>46023</v>
      </c>
      <c r="B750" t="s">
        <v>115</v>
      </c>
      <c r="C750" t="s">
        <v>66</v>
      </c>
      <c r="D750" s="2">
        <v>0</v>
      </c>
    </row>
    <row r="751" spans="1:4" x14ac:dyDescent="0.25">
      <c r="A751" s="43">
        <v>46054</v>
      </c>
      <c r="B751" t="s">
        <v>115</v>
      </c>
      <c r="C751" t="s">
        <v>66</v>
      </c>
      <c r="D751" s="2">
        <v>6</v>
      </c>
    </row>
    <row r="752" spans="1:4" x14ac:dyDescent="0.25">
      <c r="A752" s="43">
        <v>46082</v>
      </c>
      <c r="B752" t="s">
        <v>115</v>
      </c>
      <c r="C752" t="s">
        <v>66</v>
      </c>
      <c r="D752" s="2">
        <v>0</v>
      </c>
    </row>
    <row r="753" spans="1:4" x14ac:dyDescent="0.25">
      <c r="A753" s="43">
        <v>46113</v>
      </c>
      <c r="B753" t="s">
        <v>115</v>
      </c>
      <c r="C753" t="s">
        <v>66</v>
      </c>
      <c r="D753" s="2">
        <v>0</v>
      </c>
    </row>
    <row r="754" spans="1:4" x14ac:dyDescent="0.25">
      <c r="A754" s="43">
        <v>46143</v>
      </c>
      <c r="B754" t="s">
        <v>115</v>
      </c>
      <c r="C754" t="s">
        <v>66</v>
      </c>
      <c r="D754" s="2">
        <v>0</v>
      </c>
    </row>
    <row r="755" spans="1:4" x14ac:dyDescent="0.25">
      <c r="A755" s="43">
        <v>46174</v>
      </c>
      <c r="B755" t="s">
        <v>115</v>
      </c>
      <c r="C755" t="s">
        <v>66</v>
      </c>
      <c r="D755" s="2">
        <v>121.08</v>
      </c>
    </row>
    <row r="756" spans="1:4" x14ac:dyDescent="0.25">
      <c r="A756" s="43">
        <v>46023</v>
      </c>
      <c r="B756" t="s">
        <v>115</v>
      </c>
      <c r="C756" t="s">
        <v>63</v>
      </c>
      <c r="D756" s="2">
        <v>0</v>
      </c>
    </row>
    <row r="757" spans="1:4" x14ac:dyDescent="0.25">
      <c r="A757" s="43">
        <v>46054</v>
      </c>
      <c r="B757" t="s">
        <v>115</v>
      </c>
      <c r="C757" t="s">
        <v>63</v>
      </c>
      <c r="D757" s="2">
        <v>0</v>
      </c>
    </row>
    <row r="758" spans="1:4" x14ac:dyDescent="0.25">
      <c r="A758" s="43">
        <v>46082</v>
      </c>
      <c r="B758" t="s">
        <v>115</v>
      </c>
      <c r="C758" t="s">
        <v>63</v>
      </c>
      <c r="D758" s="2">
        <v>0</v>
      </c>
    </row>
    <row r="759" spans="1:4" x14ac:dyDescent="0.25">
      <c r="A759" s="43">
        <v>46113</v>
      </c>
      <c r="B759" t="s">
        <v>115</v>
      </c>
      <c r="C759" t="s">
        <v>63</v>
      </c>
      <c r="D759" s="2">
        <v>0</v>
      </c>
    </row>
    <row r="760" spans="1:4" x14ac:dyDescent="0.25">
      <c r="A760" s="43">
        <v>46143</v>
      </c>
      <c r="B760" t="s">
        <v>115</v>
      </c>
      <c r="C760" t="s">
        <v>63</v>
      </c>
      <c r="D760" s="2">
        <v>110.72</v>
      </c>
    </row>
    <row r="761" spans="1:4" x14ac:dyDescent="0.25">
      <c r="A761" s="43">
        <v>46174</v>
      </c>
      <c r="B761" t="s">
        <v>115</v>
      </c>
      <c r="C761" t="s">
        <v>63</v>
      </c>
      <c r="D761" s="2">
        <v>0</v>
      </c>
    </row>
    <row r="762" spans="1:4" x14ac:dyDescent="0.25">
      <c r="A762" s="43">
        <v>46023</v>
      </c>
      <c r="B762" t="s">
        <v>115</v>
      </c>
      <c r="C762" t="s">
        <v>73</v>
      </c>
      <c r="D762" s="2">
        <v>0</v>
      </c>
    </row>
    <row r="763" spans="1:4" x14ac:dyDescent="0.25">
      <c r="A763" s="43">
        <v>46054</v>
      </c>
      <c r="B763" t="s">
        <v>115</v>
      </c>
      <c r="C763" t="s">
        <v>73</v>
      </c>
      <c r="D763" s="2">
        <v>6.23</v>
      </c>
    </row>
    <row r="764" spans="1:4" x14ac:dyDescent="0.25">
      <c r="A764" s="43">
        <v>46082</v>
      </c>
      <c r="B764" t="s">
        <v>115</v>
      </c>
      <c r="C764" t="s">
        <v>73</v>
      </c>
      <c r="D764" s="2">
        <v>5.25</v>
      </c>
    </row>
    <row r="765" spans="1:4" x14ac:dyDescent="0.25">
      <c r="A765" s="43">
        <v>46113</v>
      </c>
      <c r="B765" t="s">
        <v>115</v>
      </c>
      <c r="C765" t="s">
        <v>73</v>
      </c>
      <c r="D765" s="2">
        <v>6.23</v>
      </c>
    </row>
    <row r="766" spans="1:4" x14ac:dyDescent="0.25">
      <c r="A766" s="43">
        <v>46143</v>
      </c>
      <c r="B766" t="s">
        <v>115</v>
      </c>
      <c r="C766" t="s">
        <v>73</v>
      </c>
      <c r="D766" s="2">
        <v>71.430000000000007</v>
      </c>
    </row>
    <row r="767" spans="1:4" x14ac:dyDescent="0.25">
      <c r="A767" s="43">
        <v>46174</v>
      </c>
      <c r="B767" t="s">
        <v>115</v>
      </c>
      <c r="C767" t="s">
        <v>73</v>
      </c>
      <c r="D767" s="2">
        <v>21.06</v>
      </c>
    </row>
    <row r="768" spans="1:4" x14ac:dyDescent="0.25">
      <c r="A768" s="43">
        <v>46023</v>
      </c>
      <c r="B768" t="s">
        <v>115</v>
      </c>
      <c r="C768" t="s">
        <v>69</v>
      </c>
      <c r="D768" s="2">
        <v>0</v>
      </c>
    </row>
    <row r="769" spans="1:4" x14ac:dyDescent="0.25">
      <c r="A769" s="43">
        <v>46054</v>
      </c>
      <c r="B769" t="s">
        <v>115</v>
      </c>
      <c r="C769" t="s">
        <v>69</v>
      </c>
      <c r="D769" s="2">
        <v>0</v>
      </c>
    </row>
    <row r="770" spans="1:4" x14ac:dyDescent="0.25">
      <c r="A770" s="43">
        <v>46082</v>
      </c>
      <c r="B770" t="s">
        <v>115</v>
      </c>
      <c r="C770" t="s">
        <v>69</v>
      </c>
      <c r="D770" s="2">
        <v>0</v>
      </c>
    </row>
    <row r="771" spans="1:4" x14ac:dyDescent="0.25">
      <c r="A771" s="43">
        <v>46113</v>
      </c>
      <c r="B771" t="s">
        <v>115</v>
      </c>
      <c r="C771" t="s">
        <v>69</v>
      </c>
      <c r="D771" s="2">
        <v>0</v>
      </c>
    </row>
    <row r="772" spans="1:4" x14ac:dyDescent="0.25">
      <c r="A772" s="43">
        <v>46143</v>
      </c>
      <c r="B772" t="s">
        <v>115</v>
      </c>
      <c r="C772" t="s">
        <v>69</v>
      </c>
      <c r="D772" s="2">
        <v>55.45</v>
      </c>
    </row>
    <row r="773" spans="1:4" x14ac:dyDescent="0.25">
      <c r="A773" s="43">
        <v>46174</v>
      </c>
      <c r="B773" t="s">
        <v>115</v>
      </c>
      <c r="C773" t="s">
        <v>69</v>
      </c>
      <c r="D773" s="2">
        <v>0</v>
      </c>
    </row>
    <row r="774" spans="1:4" x14ac:dyDescent="0.25">
      <c r="A774" s="43">
        <v>46023</v>
      </c>
      <c r="B774" t="s">
        <v>115</v>
      </c>
      <c r="C774" t="s">
        <v>64</v>
      </c>
      <c r="D774" s="2">
        <v>0</v>
      </c>
    </row>
    <row r="775" spans="1:4" x14ac:dyDescent="0.25">
      <c r="A775" s="43">
        <v>46054</v>
      </c>
      <c r="B775" t="s">
        <v>115</v>
      </c>
      <c r="C775" t="s">
        <v>64</v>
      </c>
      <c r="D775" s="2">
        <v>0</v>
      </c>
    </row>
    <row r="776" spans="1:4" x14ac:dyDescent="0.25">
      <c r="A776" s="43">
        <v>46082</v>
      </c>
      <c r="B776" t="s">
        <v>115</v>
      </c>
      <c r="C776" t="s">
        <v>64</v>
      </c>
      <c r="D776" s="2">
        <v>0</v>
      </c>
    </row>
    <row r="777" spans="1:4" x14ac:dyDescent="0.25">
      <c r="A777" s="43">
        <v>46113</v>
      </c>
      <c r="B777" t="s">
        <v>115</v>
      </c>
      <c r="C777" t="s">
        <v>64</v>
      </c>
      <c r="D777" s="2">
        <v>0</v>
      </c>
    </row>
    <row r="778" spans="1:4" x14ac:dyDescent="0.25">
      <c r="A778" s="43">
        <v>46143</v>
      </c>
      <c r="B778" t="s">
        <v>115</v>
      </c>
      <c r="C778" t="s">
        <v>64</v>
      </c>
      <c r="D778" s="2">
        <v>10.5</v>
      </c>
    </row>
    <row r="779" spans="1:4" x14ac:dyDescent="0.25">
      <c r="A779" s="43">
        <v>46174</v>
      </c>
      <c r="B779" t="s">
        <v>115</v>
      </c>
      <c r="C779" t="s">
        <v>64</v>
      </c>
      <c r="D779" s="2">
        <v>0</v>
      </c>
    </row>
    <row r="780" spans="1:4" x14ac:dyDescent="0.25">
      <c r="A780" s="43">
        <v>46023</v>
      </c>
      <c r="B780" t="s">
        <v>115</v>
      </c>
      <c r="C780" t="s">
        <v>105</v>
      </c>
      <c r="D780" s="2">
        <v>0</v>
      </c>
    </row>
    <row r="781" spans="1:4" x14ac:dyDescent="0.25">
      <c r="A781" s="43">
        <v>46054</v>
      </c>
      <c r="B781" t="s">
        <v>115</v>
      </c>
      <c r="C781" t="s">
        <v>105</v>
      </c>
      <c r="D781" s="2">
        <v>0</v>
      </c>
    </row>
    <row r="782" spans="1:4" x14ac:dyDescent="0.25">
      <c r="A782" s="43">
        <v>46082</v>
      </c>
      <c r="B782" t="s">
        <v>115</v>
      </c>
      <c r="C782" t="s">
        <v>105</v>
      </c>
      <c r="D782" s="2">
        <v>0</v>
      </c>
    </row>
    <row r="783" spans="1:4" x14ac:dyDescent="0.25">
      <c r="A783" s="43">
        <v>46113</v>
      </c>
      <c r="B783" t="s">
        <v>115</v>
      </c>
      <c r="C783" t="s">
        <v>105</v>
      </c>
      <c r="D783" s="2">
        <v>0</v>
      </c>
    </row>
    <row r="784" spans="1:4" x14ac:dyDescent="0.25">
      <c r="A784" s="43">
        <v>46143</v>
      </c>
      <c r="B784" t="s">
        <v>115</v>
      </c>
      <c r="C784" t="s">
        <v>105</v>
      </c>
      <c r="D784" s="2">
        <v>0</v>
      </c>
    </row>
    <row r="785" spans="1:4" x14ac:dyDescent="0.25">
      <c r="A785" s="43">
        <v>46174</v>
      </c>
      <c r="B785" t="s">
        <v>115</v>
      </c>
      <c r="C785" t="s">
        <v>105</v>
      </c>
      <c r="D785" s="2">
        <v>10.4</v>
      </c>
    </row>
    <row r="786" spans="1:4" x14ac:dyDescent="0.25">
      <c r="A786" s="43">
        <v>46023</v>
      </c>
      <c r="B786" t="s">
        <v>115</v>
      </c>
      <c r="C786" t="s">
        <v>48</v>
      </c>
      <c r="D786" s="2">
        <v>0</v>
      </c>
    </row>
    <row r="787" spans="1:4" x14ac:dyDescent="0.25">
      <c r="A787" s="43">
        <v>46054</v>
      </c>
      <c r="B787" t="s">
        <v>115</v>
      </c>
      <c r="C787" t="s">
        <v>48</v>
      </c>
      <c r="D787" s="2">
        <v>0</v>
      </c>
    </row>
    <row r="788" spans="1:4" x14ac:dyDescent="0.25">
      <c r="A788" s="43">
        <v>46082</v>
      </c>
      <c r="B788" t="s">
        <v>115</v>
      </c>
      <c r="C788" t="s">
        <v>48</v>
      </c>
      <c r="D788" s="2">
        <v>0</v>
      </c>
    </row>
    <row r="789" spans="1:4" x14ac:dyDescent="0.25">
      <c r="A789" s="43">
        <v>46113</v>
      </c>
      <c r="B789" t="s">
        <v>115</v>
      </c>
      <c r="C789" t="s">
        <v>48</v>
      </c>
      <c r="D789" s="2">
        <v>3.99</v>
      </c>
    </row>
    <row r="790" spans="1:4" x14ac:dyDescent="0.25">
      <c r="A790" s="43">
        <v>46143</v>
      </c>
      <c r="B790" t="s">
        <v>115</v>
      </c>
      <c r="C790" t="s">
        <v>48</v>
      </c>
      <c r="D790" s="2">
        <v>1.99</v>
      </c>
    </row>
    <row r="791" spans="1:4" x14ac:dyDescent="0.25">
      <c r="A791" s="43">
        <v>46174</v>
      </c>
      <c r="B791" t="s">
        <v>115</v>
      </c>
      <c r="C791" t="s">
        <v>48</v>
      </c>
      <c r="D791" s="2">
        <v>0</v>
      </c>
    </row>
    <row r="792" spans="1:4" x14ac:dyDescent="0.25">
      <c r="A792" s="43">
        <v>46023</v>
      </c>
      <c r="B792" t="s">
        <v>116</v>
      </c>
      <c r="C792" t="s">
        <v>40</v>
      </c>
      <c r="D792" s="2">
        <v>5112.12</v>
      </c>
    </row>
    <row r="793" spans="1:4" x14ac:dyDescent="0.25">
      <c r="A793" s="43">
        <v>46054</v>
      </c>
      <c r="B793" t="s">
        <v>116</v>
      </c>
      <c r="C793" t="s">
        <v>40</v>
      </c>
      <c r="D793" s="2">
        <v>236.27</v>
      </c>
    </row>
    <row r="794" spans="1:4" x14ac:dyDescent="0.25">
      <c r="A794" s="43">
        <v>46082</v>
      </c>
      <c r="B794" t="s">
        <v>116</v>
      </c>
      <c r="C794" t="s">
        <v>40</v>
      </c>
      <c r="D794" s="2">
        <v>2224.15</v>
      </c>
    </row>
    <row r="795" spans="1:4" x14ac:dyDescent="0.25">
      <c r="A795" s="43">
        <v>46113</v>
      </c>
      <c r="B795" t="s">
        <v>116</v>
      </c>
      <c r="C795" t="s">
        <v>40</v>
      </c>
      <c r="D795" s="2">
        <v>3559.15</v>
      </c>
    </row>
    <row r="796" spans="1:4" x14ac:dyDescent="0.25">
      <c r="A796" s="43">
        <v>46143</v>
      </c>
      <c r="B796" t="s">
        <v>116</v>
      </c>
      <c r="C796" t="s">
        <v>40</v>
      </c>
      <c r="D796" s="2">
        <v>124.15</v>
      </c>
    </row>
    <row r="797" spans="1:4" x14ac:dyDescent="0.25">
      <c r="A797" s="43">
        <v>46174</v>
      </c>
      <c r="B797" t="s">
        <v>116</v>
      </c>
      <c r="C797" t="s">
        <v>40</v>
      </c>
      <c r="D797" s="2">
        <v>3364.15</v>
      </c>
    </row>
    <row r="798" spans="1:4" x14ac:dyDescent="0.25">
      <c r="A798" s="43">
        <v>46023</v>
      </c>
      <c r="B798" t="s">
        <v>116</v>
      </c>
      <c r="C798" t="s">
        <v>50</v>
      </c>
      <c r="D798" s="2">
        <v>1350</v>
      </c>
    </row>
    <row r="799" spans="1:4" x14ac:dyDescent="0.25">
      <c r="A799" s="43">
        <v>46054</v>
      </c>
      <c r="B799" t="s">
        <v>116</v>
      </c>
      <c r="C799" t="s">
        <v>50</v>
      </c>
      <c r="D799" s="2">
        <v>1350</v>
      </c>
    </row>
    <row r="800" spans="1:4" x14ac:dyDescent="0.25">
      <c r="A800" s="43">
        <v>46082</v>
      </c>
      <c r="B800" t="s">
        <v>116</v>
      </c>
      <c r="C800" t="s">
        <v>50</v>
      </c>
      <c r="D800" s="2">
        <v>1350</v>
      </c>
    </row>
    <row r="801" spans="1:4" x14ac:dyDescent="0.25">
      <c r="A801" s="43">
        <v>46113</v>
      </c>
      <c r="B801" t="s">
        <v>116</v>
      </c>
      <c r="C801" t="s">
        <v>50</v>
      </c>
      <c r="D801" s="2">
        <v>1350</v>
      </c>
    </row>
    <row r="802" spans="1:4" x14ac:dyDescent="0.25">
      <c r="A802" s="43">
        <v>46143</v>
      </c>
      <c r="B802" t="s">
        <v>116</v>
      </c>
      <c r="C802" t="s">
        <v>50</v>
      </c>
      <c r="D802" s="2">
        <v>1350</v>
      </c>
    </row>
    <row r="803" spans="1:4" x14ac:dyDescent="0.25">
      <c r="A803" s="43">
        <v>46174</v>
      </c>
      <c r="B803" t="s">
        <v>116</v>
      </c>
      <c r="C803" t="s">
        <v>50</v>
      </c>
      <c r="D803" s="2">
        <v>1350</v>
      </c>
    </row>
    <row r="804" spans="1:4" x14ac:dyDescent="0.25">
      <c r="A804" s="43">
        <v>46023</v>
      </c>
      <c r="B804" t="s">
        <v>116</v>
      </c>
      <c r="C804" t="s">
        <v>52</v>
      </c>
      <c r="D804" s="2">
        <v>1200</v>
      </c>
    </row>
    <row r="805" spans="1:4" x14ac:dyDescent="0.25">
      <c r="A805" s="43">
        <v>46054</v>
      </c>
      <c r="B805" t="s">
        <v>116</v>
      </c>
      <c r="C805" t="s">
        <v>52</v>
      </c>
      <c r="D805" s="2">
        <v>1200</v>
      </c>
    </row>
    <row r="806" spans="1:4" x14ac:dyDescent="0.25">
      <c r="A806" s="43">
        <v>46082</v>
      </c>
      <c r="B806" t="s">
        <v>116</v>
      </c>
      <c r="C806" t="s">
        <v>52</v>
      </c>
      <c r="D806" s="2">
        <v>1200</v>
      </c>
    </row>
    <row r="807" spans="1:4" x14ac:dyDescent="0.25">
      <c r="A807" s="43">
        <v>46113</v>
      </c>
      <c r="B807" t="s">
        <v>116</v>
      </c>
      <c r="C807" t="s">
        <v>52</v>
      </c>
      <c r="D807" s="2">
        <v>1200</v>
      </c>
    </row>
    <row r="808" spans="1:4" x14ac:dyDescent="0.25">
      <c r="A808" s="43">
        <v>46143</v>
      </c>
      <c r="B808" t="s">
        <v>116</v>
      </c>
      <c r="C808" t="s">
        <v>52</v>
      </c>
      <c r="D808" s="2">
        <v>1200</v>
      </c>
    </row>
    <row r="809" spans="1:4" x14ac:dyDescent="0.25">
      <c r="A809" s="43">
        <v>46174</v>
      </c>
      <c r="B809" t="s">
        <v>116</v>
      </c>
      <c r="C809" t="s">
        <v>52</v>
      </c>
      <c r="D809" s="2">
        <v>1200</v>
      </c>
    </row>
    <row r="810" spans="1:4" x14ac:dyDescent="0.25">
      <c r="A810" s="43">
        <v>46023</v>
      </c>
      <c r="B810" t="s">
        <v>116</v>
      </c>
      <c r="C810" t="s">
        <v>49</v>
      </c>
      <c r="D810" s="2">
        <v>900</v>
      </c>
    </row>
    <row r="811" spans="1:4" x14ac:dyDescent="0.25">
      <c r="A811" s="43">
        <v>46054</v>
      </c>
      <c r="B811" t="s">
        <v>116</v>
      </c>
      <c r="C811" t="s">
        <v>49</v>
      </c>
      <c r="D811" s="2">
        <v>900</v>
      </c>
    </row>
    <row r="812" spans="1:4" x14ac:dyDescent="0.25">
      <c r="A812" s="43">
        <v>46082</v>
      </c>
      <c r="B812" t="s">
        <v>116</v>
      </c>
      <c r="C812" t="s">
        <v>49</v>
      </c>
      <c r="D812" s="2">
        <v>1100</v>
      </c>
    </row>
    <row r="813" spans="1:4" x14ac:dyDescent="0.25">
      <c r="A813" s="43">
        <v>46113</v>
      </c>
      <c r="B813" t="s">
        <v>116</v>
      </c>
      <c r="C813" t="s">
        <v>49</v>
      </c>
      <c r="D813" s="2">
        <v>1100</v>
      </c>
    </row>
    <row r="814" spans="1:4" x14ac:dyDescent="0.25">
      <c r="A814" s="43">
        <v>46143</v>
      </c>
      <c r="B814" t="s">
        <v>116</v>
      </c>
      <c r="C814" t="s">
        <v>49</v>
      </c>
      <c r="D814" s="2">
        <v>1100</v>
      </c>
    </row>
    <row r="815" spans="1:4" x14ac:dyDescent="0.25">
      <c r="A815" s="43">
        <v>46174</v>
      </c>
      <c r="B815" t="s">
        <v>116</v>
      </c>
      <c r="C815" t="s">
        <v>49</v>
      </c>
      <c r="D815" s="2">
        <v>1100</v>
      </c>
    </row>
    <row r="816" spans="1:4" x14ac:dyDescent="0.25">
      <c r="A816" s="43">
        <v>46023</v>
      </c>
      <c r="B816" t="s">
        <v>116</v>
      </c>
      <c r="C816" t="s">
        <v>46</v>
      </c>
      <c r="D816" s="2">
        <v>0</v>
      </c>
    </row>
    <row r="817" spans="1:4" x14ac:dyDescent="0.25">
      <c r="A817" s="43">
        <v>46054</v>
      </c>
      <c r="B817" t="s">
        <v>116</v>
      </c>
      <c r="C817" t="s">
        <v>46</v>
      </c>
      <c r="D817" s="2">
        <v>0</v>
      </c>
    </row>
    <row r="818" spans="1:4" x14ac:dyDescent="0.25">
      <c r="A818" s="43">
        <v>46082</v>
      </c>
      <c r="B818" t="s">
        <v>116</v>
      </c>
      <c r="C818" t="s">
        <v>46</v>
      </c>
      <c r="D818" s="2">
        <v>1414.51</v>
      </c>
    </row>
    <row r="819" spans="1:4" x14ac:dyDescent="0.25">
      <c r="A819" s="43">
        <v>46113</v>
      </c>
      <c r="B819" t="s">
        <v>116</v>
      </c>
      <c r="C819" t="s">
        <v>46</v>
      </c>
      <c r="D819" s="2">
        <v>1474.96</v>
      </c>
    </row>
    <row r="820" spans="1:4" x14ac:dyDescent="0.25">
      <c r="A820" s="43">
        <v>46143</v>
      </c>
      <c r="B820" t="s">
        <v>116</v>
      </c>
      <c r="C820" t="s">
        <v>46</v>
      </c>
      <c r="D820" s="2">
        <v>1474.96</v>
      </c>
    </row>
    <row r="821" spans="1:4" x14ac:dyDescent="0.25">
      <c r="A821" s="43">
        <v>46174</v>
      </c>
      <c r="B821" t="s">
        <v>116</v>
      </c>
      <c r="C821" t="s">
        <v>46</v>
      </c>
      <c r="D821" s="2">
        <v>0</v>
      </c>
    </row>
    <row r="822" spans="1:4" x14ac:dyDescent="0.25">
      <c r="A822" s="43">
        <v>46023</v>
      </c>
      <c r="B822" t="s">
        <v>116</v>
      </c>
      <c r="C822" t="s">
        <v>65</v>
      </c>
      <c r="D822" s="2">
        <v>0</v>
      </c>
    </row>
    <row r="823" spans="1:4" x14ac:dyDescent="0.25">
      <c r="A823" s="43">
        <v>46054</v>
      </c>
      <c r="B823" t="s">
        <v>116</v>
      </c>
      <c r="C823" t="s">
        <v>65</v>
      </c>
      <c r="D823" s="2">
        <v>2414.21</v>
      </c>
    </row>
    <row r="824" spans="1:4" x14ac:dyDescent="0.25">
      <c r="A824" s="43">
        <v>46082</v>
      </c>
      <c r="B824" t="s">
        <v>116</v>
      </c>
      <c r="C824" t="s">
        <v>65</v>
      </c>
      <c r="D824" s="2">
        <v>0</v>
      </c>
    </row>
    <row r="825" spans="1:4" x14ac:dyDescent="0.25">
      <c r="A825" s="43">
        <v>46113</v>
      </c>
      <c r="B825" t="s">
        <v>116</v>
      </c>
      <c r="C825" t="s">
        <v>65</v>
      </c>
      <c r="D825" s="2">
        <v>348.58</v>
      </c>
    </row>
    <row r="826" spans="1:4" x14ac:dyDescent="0.25">
      <c r="A826" s="43">
        <v>46143</v>
      </c>
      <c r="B826" t="s">
        <v>116</v>
      </c>
      <c r="C826" t="s">
        <v>65</v>
      </c>
      <c r="D826" s="2">
        <v>990.65</v>
      </c>
    </row>
    <row r="827" spans="1:4" x14ac:dyDescent="0.25">
      <c r="A827" s="43">
        <v>46174</v>
      </c>
      <c r="B827" t="s">
        <v>116</v>
      </c>
      <c r="C827" t="s">
        <v>65</v>
      </c>
      <c r="D827" s="2">
        <v>201.19</v>
      </c>
    </row>
    <row r="828" spans="1:4" x14ac:dyDescent="0.25">
      <c r="A828" s="43">
        <v>46023</v>
      </c>
      <c r="B828" t="s">
        <v>116</v>
      </c>
      <c r="C828" t="s">
        <v>51</v>
      </c>
      <c r="D828" s="2">
        <v>361.04</v>
      </c>
    </row>
    <row r="829" spans="1:4" x14ac:dyDescent="0.25">
      <c r="A829" s="43">
        <v>46054</v>
      </c>
      <c r="B829" t="s">
        <v>116</v>
      </c>
      <c r="C829" t="s">
        <v>51</v>
      </c>
      <c r="D829" s="2">
        <v>349.03</v>
      </c>
    </row>
    <row r="830" spans="1:4" x14ac:dyDescent="0.25">
      <c r="A830" s="43">
        <v>46082</v>
      </c>
      <c r="B830" t="s">
        <v>116</v>
      </c>
      <c r="C830" t="s">
        <v>51</v>
      </c>
      <c r="D830" s="2">
        <v>352.27</v>
      </c>
    </row>
    <row r="831" spans="1:4" x14ac:dyDescent="0.25">
      <c r="A831" s="43">
        <v>46113</v>
      </c>
      <c r="B831" t="s">
        <v>116</v>
      </c>
      <c r="C831" t="s">
        <v>51</v>
      </c>
      <c r="D831" s="2">
        <v>417.26</v>
      </c>
    </row>
    <row r="832" spans="1:4" x14ac:dyDescent="0.25">
      <c r="A832" s="43">
        <v>46143</v>
      </c>
      <c r="B832" t="s">
        <v>116</v>
      </c>
      <c r="C832" t="s">
        <v>51</v>
      </c>
      <c r="D832" s="2">
        <v>444.98</v>
      </c>
    </row>
    <row r="833" spans="1:4" x14ac:dyDescent="0.25">
      <c r="A833" s="43">
        <v>46174</v>
      </c>
      <c r="B833" t="s">
        <v>116</v>
      </c>
      <c r="C833" t="s">
        <v>51</v>
      </c>
      <c r="D833" s="2">
        <v>499.6</v>
      </c>
    </row>
    <row r="834" spans="1:4" x14ac:dyDescent="0.25">
      <c r="A834" s="43">
        <v>46023</v>
      </c>
      <c r="B834" t="s">
        <v>116</v>
      </c>
      <c r="C834" t="s">
        <v>70</v>
      </c>
      <c r="D834" s="2">
        <v>261.39999999999998</v>
      </c>
    </row>
    <row r="835" spans="1:4" x14ac:dyDescent="0.25">
      <c r="A835" s="43">
        <v>46054</v>
      </c>
      <c r="B835" t="s">
        <v>116</v>
      </c>
      <c r="C835" t="s">
        <v>70</v>
      </c>
      <c r="D835" s="2">
        <v>261.39999999999998</v>
      </c>
    </row>
    <row r="836" spans="1:4" x14ac:dyDescent="0.25">
      <c r="A836" s="43">
        <v>46082</v>
      </c>
      <c r="B836" t="s">
        <v>116</v>
      </c>
      <c r="C836" t="s">
        <v>70</v>
      </c>
      <c r="D836" s="2">
        <v>0</v>
      </c>
    </row>
    <row r="837" spans="1:4" x14ac:dyDescent="0.25">
      <c r="A837" s="43">
        <v>46113</v>
      </c>
      <c r="B837" t="s">
        <v>116</v>
      </c>
      <c r="C837" t="s">
        <v>70</v>
      </c>
      <c r="D837" s="2">
        <v>1365.97</v>
      </c>
    </row>
    <row r="838" spans="1:4" x14ac:dyDescent="0.25">
      <c r="A838" s="43">
        <v>46143</v>
      </c>
      <c r="B838" t="s">
        <v>116</v>
      </c>
      <c r="C838" t="s">
        <v>70</v>
      </c>
      <c r="D838" s="2">
        <v>0</v>
      </c>
    </row>
    <row r="839" spans="1:4" x14ac:dyDescent="0.25">
      <c r="A839" s="43">
        <v>46174</v>
      </c>
      <c r="B839" t="s">
        <v>116</v>
      </c>
      <c r="C839" t="s">
        <v>70</v>
      </c>
      <c r="D839" s="2">
        <v>0</v>
      </c>
    </row>
    <row r="840" spans="1:4" x14ac:dyDescent="0.25">
      <c r="A840" s="43">
        <v>46023</v>
      </c>
      <c r="B840" t="s">
        <v>116</v>
      </c>
      <c r="C840" t="s">
        <v>56</v>
      </c>
      <c r="D840" s="2">
        <v>0</v>
      </c>
    </row>
    <row r="841" spans="1:4" x14ac:dyDescent="0.25">
      <c r="A841" s="43">
        <v>46054</v>
      </c>
      <c r="B841" t="s">
        <v>116</v>
      </c>
      <c r="C841" t="s">
        <v>56</v>
      </c>
      <c r="D841" s="2">
        <v>0</v>
      </c>
    </row>
    <row r="842" spans="1:4" x14ac:dyDescent="0.25">
      <c r="A842" s="43">
        <v>46082</v>
      </c>
      <c r="B842" t="s">
        <v>116</v>
      </c>
      <c r="C842" t="s">
        <v>56</v>
      </c>
      <c r="D842" s="2">
        <v>29</v>
      </c>
    </row>
    <row r="843" spans="1:4" x14ac:dyDescent="0.25">
      <c r="A843" s="43">
        <v>46113</v>
      </c>
      <c r="B843" t="s">
        <v>116</v>
      </c>
      <c r="C843" t="s">
        <v>56</v>
      </c>
      <c r="D843" s="2">
        <v>1502</v>
      </c>
    </row>
    <row r="844" spans="1:4" x14ac:dyDescent="0.25">
      <c r="A844" s="43">
        <v>46143</v>
      </c>
      <c r="B844" t="s">
        <v>116</v>
      </c>
      <c r="C844" t="s">
        <v>56</v>
      </c>
      <c r="D844" s="2">
        <v>0</v>
      </c>
    </row>
    <row r="845" spans="1:4" x14ac:dyDescent="0.25">
      <c r="A845" s="43">
        <v>46174</v>
      </c>
      <c r="B845" t="s">
        <v>116</v>
      </c>
      <c r="C845" t="s">
        <v>56</v>
      </c>
      <c r="D845" s="2">
        <v>0</v>
      </c>
    </row>
    <row r="846" spans="1:4" x14ac:dyDescent="0.25">
      <c r="A846" s="43">
        <v>46023</v>
      </c>
      <c r="B846" t="s">
        <v>116</v>
      </c>
      <c r="C846" t="s">
        <v>53</v>
      </c>
      <c r="D846" s="2">
        <v>200</v>
      </c>
    </row>
    <row r="847" spans="1:4" x14ac:dyDescent="0.25">
      <c r="A847" s="43">
        <v>46054</v>
      </c>
      <c r="B847" t="s">
        <v>116</v>
      </c>
      <c r="C847" t="s">
        <v>53</v>
      </c>
      <c r="D847" s="2">
        <v>200</v>
      </c>
    </row>
    <row r="848" spans="1:4" x14ac:dyDescent="0.25">
      <c r="A848" s="43">
        <v>46082</v>
      </c>
      <c r="B848" t="s">
        <v>116</v>
      </c>
      <c r="C848" t="s">
        <v>53</v>
      </c>
      <c r="D848" s="2">
        <v>210</v>
      </c>
    </row>
    <row r="849" spans="1:4" x14ac:dyDescent="0.25">
      <c r="A849" s="43">
        <v>46113</v>
      </c>
      <c r="B849" t="s">
        <v>116</v>
      </c>
      <c r="C849" t="s">
        <v>53</v>
      </c>
      <c r="D849" s="2">
        <v>210</v>
      </c>
    </row>
    <row r="850" spans="1:4" x14ac:dyDescent="0.25">
      <c r="A850" s="43">
        <v>46143</v>
      </c>
      <c r="B850" t="s">
        <v>116</v>
      </c>
      <c r="C850" t="s">
        <v>53</v>
      </c>
      <c r="D850" s="2">
        <v>210</v>
      </c>
    </row>
    <row r="851" spans="1:4" x14ac:dyDescent="0.25">
      <c r="A851" s="43">
        <v>46174</v>
      </c>
      <c r="B851" t="s">
        <v>116</v>
      </c>
      <c r="C851" t="s">
        <v>53</v>
      </c>
      <c r="D851" s="2">
        <v>210</v>
      </c>
    </row>
    <row r="852" spans="1:4" x14ac:dyDescent="0.25">
      <c r="A852" s="43">
        <v>46023</v>
      </c>
      <c r="B852" t="s">
        <v>116</v>
      </c>
      <c r="C852" t="s">
        <v>104</v>
      </c>
      <c r="D852" s="2">
        <v>0</v>
      </c>
    </row>
    <row r="853" spans="1:4" x14ac:dyDescent="0.25">
      <c r="A853" s="43">
        <v>46054</v>
      </c>
      <c r="B853" t="s">
        <v>116</v>
      </c>
      <c r="C853" t="s">
        <v>104</v>
      </c>
      <c r="D853" s="2">
        <v>0</v>
      </c>
    </row>
    <row r="854" spans="1:4" x14ac:dyDescent="0.25">
      <c r="A854" s="43">
        <v>46082</v>
      </c>
      <c r="B854" t="s">
        <v>116</v>
      </c>
      <c r="C854" t="s">
        <v>104</v>
      </c>
      <c r="D854" s="2">
        <v>0</v>
      </c>
    </row>
    <row r="855" spans="1:4" x14ac:dyDescent="0.25">
      <c r="A855" s="43">
        <v>46113</v>
      </c>
      <c r="B855" t="s">
        <v>116</v>
      </c>
      <c r="C855" t="s">
        <v>104</v>
      </c>
      <c r="D855" s="2">
        <v>0</v>
      </c>
    </row>
    <row r="856" spans="1:4" x14ac:dyDescent="0.25">
      <c r="A856" s="43">
        <v>46143</v>
      </c>
      <c r="B856" t="s">
        <v>116</v>
      </c>
      <c r="C856" t="s">
        <v>104</v>
      </c>
      <c r="D856" s="2">
        <v>0</v>
      </c>
    </row>
    <row r="857" spans="1:4" x14ac:dyDescent="0.25">
      <c r="A857" s="43">
        <v>46174</v>
      </c>
      <c r="B857" t="s">
        <v>116</v>
      </c>
      <c r="C857" t="s">
        <v>104</v>
      </c>
      <c r="D857" s="2">
        <v>1200</v>
      </c>
    </row>
    <row r="858" spans="1:4" x14ac:dyDescent="0.25">
      <c r="A858" s="43">
        <v>46023</v>
      </c>
      <c r="B858" t="s">
        <v>116</v>
      </c>
      <c r="C858" t="s">
        <v>57</v>
      </c>
      <c r="D858" s="2">
        <v>166.98</v>
      </c>
    </row>
    <row r="859" spans="1:4" x14ac:dyDescent="0.25">
      <c r="A859" s="43">
        <v>46054</v>
      </c>
      <c r="B859" t="s">
        <v>116</v>
      </c>
      <c r="C859" t="s">
        <v>57</v>
      </c>
      <c r="D859" s="2">
        <v>178.31</v>
      </c>
    </row>
    <row r="860" spans="1:4" x14ac:dyDescent="0.25">
      <c r="A860" s="43">
        <v>46082</v>
      </c>
      <c r="B860" t="s">
        <v>116</v>
      </c>
      <c r="C860" t="s">
        <v>57</v>
      </c>
      <c r="D860" s="2">
        <v>178.31</v>
      </c>
    </row>
    <row r="861" spans="1:4" x14ac:dyDescent="0.25">
      <c r="A861" s="43">
        <v>46113</v>
      </c>
      <c r="B861" t="s">
        <v>116</v>
      </c>
      <c r="C861" t="s">
        <v>57</v>
      </c>
      <c r="D861" s="2">
        <v>178.31</v>
      </c>
    </row>
    <row r="862" spans="1:4" x14ac:dyDescent="0.25">
      <c r="A862" s="43">
        <v>46143</v>
      </c>
      <c r="B862" t="s">
        <v>116</v>
      </c>
      <c r="C862" t="s">
        <v>57</v>
      </c>
      <c r="D862" s="2">
        <v>178.31</v>
      </c>
    </row>
    <row r="863" spans="1:4" x14ac:dyDescent="0.25">
      <c r="A863" s="43">
        <v>46174</v>
      </c>
      <c r="B863" t="s">
        <v>116</v>
      </c>
      <c r="C863" t="s">
        <v>57</v>
      </c>
      <c r="D863" s="2">
        <v>178.31</v>
      </c>
    </row>
    <row r="864" spans="1:4" x14ac:dyDescent="0.25">
      <c r="A864" s="43">
        <v>46023</v>
      </c>
      <c r="B864" t="s">
        <v>116</v>
      </c>
      <c r="C864" t="s">
        <v>54</v>
      </c>
      <c r="D864" s="2">
        <v>132.31</v>
      </c>
    </row>
    <row r="865" spans="1:4" x14ac:dyDescent="0.25">
      <c r="A865" s="43">
        <v>46054</v>
      </c>
      <c r="B865" t="s">
        <v>116</v>
      </c>
      <c r="C865" t="s">
        <v>54</v>
      </c>
      <c r="D865" s="2">
        <v>131.75</v>
      </c>
    </row>
    <row r="866" spans="1:4" x14ac:dyDescent="0.25">
      <c r="A866" s="43">
        <v>46082</v>
      </c>
      <c r="B866" t="s">
        <v>116</v>
      </c>
      <c r="C866" t="s">
        <v>54</v>
      </c>
      <c r="D866" s="2">
        <v>131.75</v>
      </c>
    </row>
    <row r="867" spans="1:4" x14ac:dyDescent="0.25">
      <c r="A867" s="43">
        <v>46113</v>
      </c>
      <c r="B867" t="s">
        <v>116</v>
      </c>
      <c r="C867" t="s">
        <v>54</v>
      </c>
      <c r="D867" s="2">
        <v>131.79</v>
      </c>
    </row>
    <row r="868" spans="1:4" x14ac:dyDescent="0.25">
      <c r="A868" s="43">
        <v>46143</v>
      </c>
      <c r="B868" t="s">
        <v>116</v>
      </c>
      <c r="C868" t="s">
        <v>54</v>
      </c>
      <c r="D868" s="2">
        <v>129</v>
      </c>
    </row>
    <row r="869" spans="1:4" x14ac:dyDescent="0.25">
      <c r="A869" s="43">
        <v>46174</v>
      </c>
      <c r="B869" t="s">
        <v>116</v>
      </c>
      <c r="C869" t="s">
        <v>54</v>
      </c>
      <c r="D869" s="2">
        <v>0</v>
      </c>
    </row>
    <row r="870" spans="1:4" x14ac:dyDescent="0.25">
      <c r="A870" s="43">
        <v>46023</v>
      </c>
      <c r="B870" t="s">
        <v>116</v>
      </c>
      <c r="C870" t="s">
        <v>69</v>
      </c>
      <c r="D870" s="2">
        <v>0</v>
      </c>
    </row>
    <row r="871" spans="1:4" x14ac:dyDescent="0.25">
      <c r="A871" s="43">
        <v>46054</v>
      </c>
      <c r="B871" t="s">
        <v>116</v>
      </c>
      <c r="C871" t="s">
        <v>69</v>
      </c>
      <c r="D871" s="2">
        <v>0</v>
      </c>
    </row>
    <row r="872" spans="1:4" x14ac:dyDescent="0.25">
      <c r="A872" s="43">
        <v>46082</v>
      </c>
      <c r="B872" t="s">
        <v>116</v>
      </c>
      <c r="C872" t="s">
        <v>69</v>
      </c>
      <c r="D872" s="2">
        <v>123.07</v>
      </c>
    </row>
    <row r="873" spans="1:4" x14ac:dyDescent="0.25">
      <c r="A873" s="43">
        <v>46113</v>
      </c>
      <c r="B873" t="s">
        <v>116</v>
      </c>
      <c r="C873" t="s">
        <v>69</v>
      </c>
      <c r="D873" s="2">
        <v>153.72</v>
      </c>
    </row>
    <row r="874" spans="1:4" x14ac:dyDescent="0.25">
      <c r="A874" s="43">
        <v>46143</v>
      </c>
      <c r="B874" t="s">
        <v>116</v>
      </c>
      <c r="C874" t="s">
        <v>69</v>
      </c>
      <c r="D874" s="2">
        <v>194.97</v>
      </c>
    </row>
    <row r="875" spans="1:4" x14ac:dyDescent="0.25">
      <c r="A875" s="43">
        <v>46174</v>
      </c>
      <c r="B875" t="s">
        <v>116</v>
      </c>
      <c r="C875" t="s">
        <v>69</v>
      </c>
      <c r="D875" s="2">
        <v>0</v>
      </c>
    </row>
    <row r="876" spans="1:4" x14ac:dyDescent="0.25">
      <c r="A876" s="43">
        <v>46023</v>
      </c>
      <c r="B876" t="s">
        <v>116</v>
      </c>
      <c r="C876" t="s">
        <v>66</v>
      </c>
      <c r="D876" s="2">
        <v>27.99</v>
      </c>
    </row>
    <row r="877" spans="1:4" x14ac:dyDescent="0.25">
      <c r="A877" s="43">
        <v>46054</v>
      </c>
      <c r="B877" t="s">
        <v>116</v>
      </c>
      <c r="C877" t="s">
        <v>66</v>
      </c>
      <c r="D877" s="2">
        <v>27.99</v>
      </c>
    </row>
    <row r="878" spans="1:4" x14ac:dyDescent="0.25">
      <c r="A878" s="43">
        <v>46082</v>
      </c>
      <c r="B878" t="s">
        <v>116</v>
      </c>
      <c r="C878" t="s">
        <v>66</v>
      </c>
      <c r="D878" s="2">
        <v>27.99</v>
      </c>
    </row>
    <row r="879" spans="1:4" x14ac:dyDescent="0.25">
      <c r="A879" s="43">
        <v>46113</v>
      </c>
      <c r="B879" t="s">
        <v>116</v>
      </c>
      <c r="C879" t="s">
        <v>66</v>
      </c>
      <c r="D879" s="2">
        <v>27.99</v>
      </c>
    </row>
    <row r="880" spans="1:4" x14ac:dyDescent="0.25">
      <c r="A880" s="43">
        <v>46143</v>
      </c>
      <c r="B880" t="s">
        <v>116</v>
      </c>
      <c r="C880" t="s">
        <v>66</v>
      </c>
      <c r="D880" s="2">
        <v>27.99</v>
      </c>
    </row>
    <row r="881" spans="1:4" x14ac:dyDescent="0.25">
      <c r="A881" s="43">
        <v>46174</v>
      </c>
      <c r="B881" t="s">
        <v>116</v>
      </c>
      <c r="C881" t="s">
        <v>66</v>
      </c>
      <c r="D881" s="2">
        <v>27.99</v>
      </c>
    </row>
    <row r="882" spans="1:4" x14ac:dyDescent="0.25">
      <c r="A882" s="43">
        <v>46023</v>
      </c>
      <c r="B882" t="s">
        <v>116</v>
      </c>
      <c r="C882" t="s">
        <v>47</v>
      </c>
      <c r="D882" s="2">
        <v>0</v>
      </c>
    </row>
    <row r="883" spans="1:4" x14ac:dyDescent="0.25">
      <c r="A883" s="43">
        <v>46054</v>
      </c>
      <c r="B883" t="s">
        <v>116</v>
      </c>
      <c r="C883" t="s">
        <v>47</v>
      </c>
      <c r="D883" s="2">
        <v>69</v>
      </c>
    </row>
    <row r="884" spans="1:4" x14ac:dyDescent="0.25">
      <c r="A884" s="43">
        <v>46082</v>
      </c>
      <c r="B884" t="s">
        <v>116</v>
      </c>
      <c r="C884" t="s">
        <v>47</v>
      </c>
      <c r="D884" s="2">
        <v>0</v>
      </c>
    </row>
    <row r="885" spans="1:4" x14ac:dyDescent="0.25">
      <c r="A885" s="43">
        <v>46113</v>
      </c>
      <c r="B885" t="s">
        <v>116</v>
      </c>
      <c r="C885" t="s">
        <v>47</v>
      </c>
      <c r="D885" s="2">
        <v>0</v>
      </c>
    </row>
    <row r="886" spans="1:4" x14ac:dyDescent="0.25">
      <c r="A886" s="43">
        <v>46143</v>
      </c>
      <c r="B886" t="s">
        <v>116</v>
      </c>
      <c r="C886" t="s">
        <v>47</v>
      </c>
      <c r="D886" s="2">
        <v>0</v>
      </c>
    </row>
    <row r="887" spans="1:4" x14ac:dyDescent="0.25">
      <c r="A887" s="43">
        <v>46174</v>
      </c>
      <c r="B887" t="s">
        <v>116</v>
      </c>
      <c r="C887" t="s">
        <v>47</v>
      </c>
      <c r="D887" s="2">
        <v>0</v>
      </c>
    </row>
    <row r="888" spans="1:4" x14ac:dyDescent="0.25">
      <c r="A888" s="43">
        <v>46023</v>
      </c>
      <c r="B888" t="s">
        <v>117</v>
      </c>
      <c r="C888" t="s">
        <v>39</v>
      </c>
      <c r="D888" s="2">
        <v>1772.76</v>
      </c>
    </row>
    <row r="889" spans="1:4" x14ac:dyDescent="0.25">
      <c r="A889" s="43">
        <v>46054</v>
      </c>
      <c r="B889" t="s">
        <v>117</v>
      </c>
      <c r="C889" t="s">
        <v>39</v>
      </c>
      <c r="D889" s="2">
        <v>5847.15</v>
      </c>
    </row>
    <row r="890" spans="1:4" x14ac:dyDescent="0.25">
      <c r="A890" s="43">
        <v>46082</v>
      </c>
      <c r="B890" t="s">
        <v>117</v>
      </c>
      <c r="C890" t="s">
        <v>39</v>
      </c>
      <c r="D890" s="2">
        <v>2360.7800000000002</v>
      </c>
    </row>
    <row r="891" spans="1:4" x14ac:dyDescent="0.25">
      <c r="A891" s="43">
        <v>46113</v>
      </c>
      <c r="B891" t="s">
        <v>117</v>
      </c>
      <c r="C891" t="s">
        <v>39</v>
      </c>
      <c r="D891" s="2">
        <v>7274.49</v>
      </c>
    </row>
    <row r="892" spans="1:4" x14ac:dyDescent="0.25">
      <c r="A892" s="43">
        <v>46143</v>
      </c>
      <c r="B892" t="s">
        <v>117</v>
      </c>
      <c r="C892" t="s">
        <v>39</v>
      </c>
      <c r="D892" s="2">
        <v>18302.060000000001</v>
      </c>
    </row>
    <row r="893" spans="1:4" x14ac:dyDescent="0.25">
      <c r="A893" s="43">
        <v>46174</v>
      </c>
      <c r="B893" t="s">
        <v>117</v>
      </c>
      <c r="C893" t="s">
        <v>39</v>
      </c>
      <c r="D893" s="2">
        <v>22798.69</v>
      </c>
    </row>
    <row r="894" spans="1:4" x14ac:dyDescent="0.25">
      <c r="A894" s="43">
        <v>46023</v>
      </c>
      <c r="B894" t="s">
        <v>119</v>
      </c>
      <c r="C894" t="s">
        <v>41</v>
      </c>
      <c r="D894" s="2">
        <v>2500</v>
      </c>
    </row>
    <row r="895" spans="1:4" x14ac:dyDescent="0.25">
      <c r="A895" s="43">
        <v>46054</v>
      </c>
      <c r="B895" t="s">
        <v>119</v>
      </c>
      <c r="C895" t="s">
        <v>41</v>
      </c>
      <c r="D895" s="2">
        <v>2500</v>
      </c>
    </row>
    <row r="896" spans="1:4" x14ac:dyDescent="0.25">
      <c r="A896" s="43">
        <v>46082</v>
      </c>
      <c r="B896" t="s">
        <v>119</v>
      </c>
      <c r="C896" t="s">
        <v>41</v>
      </c>
      <c r="D896" s="2">
        <v>2500</v>
      </c>
    </row>
    <row r="897" spans="1:4" x14ac:dyDescent="0.25">
      <c r="A897" s="43">
        <v>46113</v>
      </c>
      <c r="B897" t="s">
        <v>119</v>
      </c>
      <c r="C897" t="s">
        <v>41</v>
      </c>
      <c r="D897" s="2">
        <v>2500</v>
      </c>
    </row>
    <row r="898" spans="1:4" x14ac:dyDescent="0.25">
      <c r="A898" s="43">
        <v>46143</v>
      </c>
      <c r="B898" t="s">
        <v>119</v>
      </c>
      <c r="C898" t="s">
        <v>41</v>
      </c>
      <c r="D898" s="2">
        <v>2500</v>
      </c>
    </row>
    <row r="899" spans="1:4" x14ac:dyDescent="0.25">
      <c r="A899" s="43">
        <v>46174</v>
      </c>
      <c r="B899" t="s">
        <v>119</v>
      </c>
      <c r="C899" t="s">
        <v>41</v>
      </c>
      <c r="D899" s="2">
        <v>2500</v>
      </c>
    </row>
    <row r="900" spans="1:4" x14ac:dyDescent="0.25">
      <c r="A900" s="43">
        <v>46023</v>
      </c>
      <c r="B900" t="s">
        <v>119</v>
      </c>
      <c r="C900" t="s">
        <v>66</v>
      </c>
      <c r="D900" s="2">
        <v>239.99</v>
      </c>
    </row>
    <row r="901" spans="1:4" x14ac:dyDescent="0.25">
      <c r="A901" s="43">
        <v>46054</v>
      </c>
      <c r="B901" t="s">
        <v>119</v>
      </c>
      <c r="C901" t="s">
        <v>66</v>
      </c>
      <c r="D901" s="2">
        <v>398.92</v>
      </c>
    </row>
    <row r="902" spans="1:4" x14ac:dyDescent="0.25">
      <c r="A902" s="43">
        <v>46082</v>
      </c>
      <c r="B902" t="s">
        <v>119</v>
      </c>
      <c r="C902" t="s">
        <v>66</v>
      </c>
      <c r="D902" s="2">
        <v>359.82</v>
      </c>
    </row>
    <row r="903" spans="1:4" x14ac:dyDescent="0.25">
      <c r="A903" s="43">
        <v>46113</v>
      </c>
      <c r="B903" t="s">
        <v>119</v>
      </c>
      <c r="C903" t="s">
        <v>66</v>
      </c>
      <c r="D903" s="2">
        <v>359.82</v>
      </c>
    </row>
    <row r="904" spans="1:4" x14ac:dyDescent="0.25">
      <c r="A904" s="43">
        <v>46143</v>
      </c>
      <c r="B904" t="s">
        <v>119</v>
      </c>
      <c r="C904" t="s">
        <v>66</v>
      </c>
      <c r="D904" s="2">
        <v>3239.99</v>
      </c>
    </row>
    <row r="905" spans="1:4" x14ac:dyDescent="0.25">
      <c r="A905" s="43">
        <v>46174</v>
      </c>
      <c r="B905" t="s">
        <v>119</v>
      </c>
      <c r="C905" t="s">
        <v>66</v>
      </c>
      <c r="D905" s="2">
        <v>239.99</v>
      </c>
    </row>
    <row r="906" spans="1:4" x14ac:dyDescent="0.25">
      <c r="A906" s="43">
        <v>46023</v>
      </c>
      <c r="B906" t="s">
        <v>119</v>
      </c>
      <c r="C906" t="s">
        <v>42</v>
      </c>
      <c r="D906" s="2">
        <v>0</v>
      </c>
    </row>
    <row r="907" spans="1:4" x14ac:dyDescent="0.25">
      <c r="A907" s="43">
        <v>46054</v>
      </c>
      <c r="B907" t="s">
        <v>119</v>
      </c>
      <c r="C907" t="s">
        <v>42</v>
      </c>
      <c r="D907" s="2">
        <v>0</v>
      </c>
    </row>
    <row r="908" spans="1:4" x14ac:dyDescent="0.25">
      <c r="A908" s="43">
        <v>46082</v>
      </c>
      <c r="B908" t="s">
        <v>119</v>
      </c>
      <c r="C908" t="s">
        <v>42</v>
      </c>
      <c r="D908" s="2">
        <v>0</v>
      </c>
    </row>
    <row r="909" spans="1:4" x14ac:dyDescent="0.25">
      <c r="A909" s="43">
        <v>46113</v>
      </c>
      <c r="B909" t="s">
        <v>119</v>
      </c>
      <c r="C909" t="s">
        <v>42</v>
      </c>
      <c r="D909" s="2">
        <v>0</v>
      </c>
    </row>
    <row r="910" spans="1:4" x14ac:dyDescent="0.25">
      <c r="A910" s="43">
        <v>46143</v>
      </c>
      <c r="B910" t="s">
        <v>119</v>
      </c>
      <c r="C910" t="s">
        <v>42</v>
      </c>
      <c r="D910" s="2">
        <v>0</v>
      </c>
    </row>
    <row r="911" spans="1:4" x14ac:dyDescent="0.25">
      <c r="A911" s="43">
        <v>46174</v>
      </c>
      <c r="B911" t="s">
        <v>119</v>
      </c>
      <c r="C911" t="s">
        <v>42</v>
      </c>
      <c r="D911" s="2">
        <v>1000</v>
      </c>
    </row>
    <row r="912" spans="1:4" x14ac:dyDescent="0.25">
      <c r="A912" s="43">
        <v>46023</v>
      </c>
      <c r="B912" t="s">
        <v>120</v>
      </c>
      <c r="C912" t="s">
        <v>110</v>
      </c>
      <c r="D912" s="2">
        <v>0</v>
      </c>
    </row>
    <row r="913" spans="1:4" x14ac:dyDescent="0.25">
      <c r="A913" s="43">
        <v>46054</v>
      </c>
      <c r="B913" t="s">
        <v>120</v>
      </c>
      <c r="C913" t="s">
        <v>110</v>
      </c>
      <c r="D913" s="2">
        <v>0</v>
      </c>
    </row>
    <row r="914" spans="1:4" x14ac:dyDescent="0.25">
      <c r="A914" s="43">
        <v>46082</v>
      </c>
      <c r="B914" t="s">
        <v>120</v>
      </c>
      <c r="C914" t="s">
        <v>110</v>
      </c>
      <c r="D914" s="2">
        <v>0</v>
      </c>
    </row>
    <row r="915" spans="1:4" x14ac:dyDescent="0.25">
      <c r="A915" s="43">
        <v>46113</v>
      </c>
      <c r="B915" t="s">
        <v>120</v>
      </c>
      <c r="C915" t="s">
        <v>110</v>
      </c>
      <c r="D915" s="2">
        <v>0</v>
      </c>
    </row>
    <row r="916" spans="1:4" x14ac:dyDescent="0.25">
      <c r="A916" s="43">
        <v>46143</v>
      </c>
      <c r="B916" t="s">
        <v>120</v>
      </c>
      <c r="C916" t="s">
        <v>110</v>
      </c>
      <c r="D916" s="2">
        <v>0</v>
      </c>
    </row>
    <row r="917" spans="1:4" x14ac:dyDescent="0.25">
      <c r="A917" s="43">
        <v>46174</v>
      </c>
      <c r="B917" t="s">
        <v>120</v>
      </c>
      <c r="C917" t="s">
        <v>110</v>
      </c>
      <c r="D917" s="2">
        <v>17151.73</v>
      </c>
    </row>
    <row r="918" spans="1:4" x14ac:dyDescent="0.25">
      <c r="A918" s="43">
        <v>46204</v>
      </c>
      <c r="B918" t="s">
        <v>115</v>
      </c>
      <c r="C918" t="s">
        <v>56</v>
      </c>
      <c r="D918" s="2">
        <v>20000</v>
      </c>
    </row>
    <row r="919" spans="1:4" x14ac:dyDescent="0.25">
      <c r="A919" s="43">
        <v>46204</v>
      </c>
      <c r="B919" t="s">
        <v>115</v>
      </c>
      <c r="C919" t="s">
        <v>80</v>
      </c>
      <c r="D919" s="2">
        <v>4842.53</v>
      </c>
    </row>
    <row r="920" spans="1:4" x14ac:dyDescent="0.25">
      <c r="A920" s="43">
        <v>46204</v>
      </c>
      <c r="B920" t="s">
        <v>115</v>
      </c>
      <c r="C920" t="s">
        <v>40</v>
      </c>
      <c r="D920" s="2">
        <v>3150</v>
      </c>
    </row>
    <row r="921" spans="1:4" x14ac:dyDescent="0.25">
      <c r="A921" s="43">
        <v>46204</v>
      </c>
      <c r="B921" t="s">
        <v>115</v>
      </c>
      <c r="C921" t="s">
        <v>65</v>
      </c>
      <c r="D921" s="2">
        <v>2870</v>
      </c>
    </row>
    <row r="922" spans="1:4" x14ac:dyDescent="0.25">
      <c r="A922" s="43">
        <v>46204</v>
      </c>
      <c r="B922" t="s">
        <v>115</v>
      </c>
      <c r="C922" t="s">
        <v>47</v>
      </c>
      <c r="D922" s="2">
        <v>2075.42</v>
      </c>
    </row>
    <row r="923" spans="1:4" x14ac:dyDescent="0.25">
      <c r="A923" s="43">
        <v>46204</v>
      </c>
      <c r="B923" t="s">
        <v>115</v>
      </c>
      <c r="C923" t="s">
        <v>58</v>
      </c>
      <c r="D923" s="2">
        <v>1442.69</v>
      </c>
    </row>
    <row r="924" spans="1:4" x14ac:dyDescent="0.25">
      <c r="A924" s="43">
        <v>46204</v>
      </c>
      <c r="B924" t="s">
        <v>115</v>
      </c>
      <c r="C924" t="s">
        <v>78</v>
      </c>
      <c r="D924" s="2">
        <v>1000</v>
      </c>
    </row>
    <row r="925" spans="1:4" x14ac:dyDescent="0.25">
      <c r="A925" s="43">
        <v>46204</v>
      </c>
      <c r="B925" t="s">
        <v>115</v>
      </c>
      <c r="C925" t="s">
        <v>55</v>
      </c>
      <c r="D925" s="2">
        <v>727.2</v>
      </c>
    </row>
    <row r="926" spans="1:4" x14ac:dyDescent="0.25">
      <c r="A926" s="43">
        <v>46204</v>
      </c>
      <c r="B926" t="s">
        <v>115</v>
      </c>
      <c r="C926" t="s">
        <v>66</v>
      </c>
      <c r="D926" s="2">
        <v>124.11</v>
      </c>
    </row>
    <row r="927" spans="1:4" x14ac:dyDescent="0.25">
      <c r="A927" s="43">
        <v>46204</v>
      </c>
      <c r="B927" t="s">
        <v>115</v>
      </c>
      <c r="C927" t="s">
        <v>61</v>
      </c>
      <c r="D927" s="2">
        <v>90.3</v>
      </c>
    </row>
    <row r="928" spans="1:4" x14ac:dyDescent="0.25">
      <c r="A928" s="43">
        <v>46204</v>
      </c>
      <c r="B928" t="s">
        <v>115</v>
      </c>
      <c r="C928" t="s">
        <v>71</v>
      </c>
      <c r="D928" s="2">
        <v>60.94</v>
      </c>
    </row>
    <row r="929" spans="1:4" x14ac:dyDescent="0.25">
      <c r="A929" s="43">
        <v>46204</v>
      </c>
      <c r="B929" t="s">
        <v>115</v>
      </c>
      <c r="C929" t="s">
        <v>69</v>
      </c>
      <c r="D929" s="2">
        <v>28.5</v>
      </c>
    </row>
    <row r="930" spans="1:4" x14ac:dyDescent="0.25">
      <c r="A930" s="43">
        <v>46204</v>
      </c>
      <c r="B930" t="s">
        <v>115</v>
      </c>
      <c r="C930" t="s">
        <v>73</v>
      </c>
      <c r="D930" s="2">
        <v>25.98</v>
      </c>
    </row>
    <row r="931" spans="1:4" x14ac:dyDescent="0.25">
      <c r="A931" s="43">
        <v>46204</v>
      </c>
      <c r="B931" t="s">
        <v>118</v>
      </c>
      <c r="C931" t="s">
        <v>42</v>
      </c>
      <c r="D931" s="2">
        <v>21761.77</v>
      </c>
    </row>
    <row r="932" spans="1:4" x14ac:dyDescent="0.25">
      <c r="A932" s="43">
        <v>46204</v>
      </c>
      <c r="B932" t="s">
        <v>118</v>
      </c>
      <c r="C932" t="s">
        <v>56</v>
      </c>
      <c r="D932" s="2">
        <v>4343.6499999999996</v>
      </c>
    </row>
    <row r="933" spans="1:4" x14ac:dyDescent="0.25">
      <c r="A933" s="43">
        <v>46204</v>
      </c>
      <c r="B933" t="s">
        <v>118</v>
      </c>
      <c r="C933" t="s">
        <v>66</v>
      </c>
      <c r="D933" s="2">
        <v>36.44</v>
      </c>
    </row>
    <row r="934" spans="1:4" x14ac:dyDescent="0.25">
      <c r="A934" s="43">
        <v>46204</v>
      </c>
      <c r="B934" t="s">
        <v>117</v>
      </c>
      <c r="C934" t="s">
        <v>39</v>
      </c>
      <c r="D934" s="2">
        <v>24120.53</v>
      </c>
    </row>
    <row r="935" spans="1:4" x14ac:dyDescent="0.25">
      <c r="A935" s="43">
        <v>46204</v>
      </c>
      <c r="B935" t="s">
        <v>116</v>
      </c>
      <c r="C935" t="s">
        <v>50</v>
      </c>
      <c r="D935" s="2">
        <v>1350</v>
      </c>
    </row>
    <row r="936" spans="1:4" x14ac:dyDescent="0.25">
      <c r="A936" s="43">
        <v>46204</v>
      </c>
      <c r="B936" t="s">
        <v>116</v>
      </c>
      <c r="C936" t="s">
        <v>52</v>
      </c>
      <c r="D936" s="2">
        <v>1200</v>
      </c>
    </row>
    <row r="937" spans="1:4" x14ac:dyDescent="0.25">
      <c r="A937" s="43">
        <v>46204</v>
      </c>
      <c r="B937" t="s">
        <v>116</v>
      </c>
      <c r="C937" t="s">
        <v>49</v>
      </c>
      <c r="D937" s="2">
        <v>1100</v>
      </c>
    </row>
    <row r="938" spans="1:4" x14ac:dyDescent="0.25">
      <c r="A938" s="43">
        <v>46204</v>
      </c>
      <c r="B938" t="s">
        <v>116</v>
      </c>
      <c r="C938" t="s">
        <v>40</v>
      </c>
      <c r="D938" s="2">
        <v>564.15</v>
      </c>
    </row>
    <row r="939" spans="1:4" x14ac:dyDescent="0.25">
      <c r="A939" s="43">
        <v>46204</v>
      </c>
      <c r="B939" t="s">
        <v>116</v>
      </c>
      <c r="C939" t="s">
        <v>65</v>
      </c>
      <c r="D939" s="2">
        <v>558</v>
      </c>
    </row>
    <row r="940" spans="1:4" x14ac:dyDescent="0.25">
      <c r="A940" s="43">
        <v>46204</v>
      </c>
      <c r="B940" t="s">
        <v>116</v>
      </c>
      <c r="C940" t="s">
        <v>51</v>
      </c>
      <c r="D940" s="2">
        <v>375.86</v>
      </c>
    </row>
    <row r="941" spans="1:4" x14ac:dyDescent="0.25">
      <c r="A941" s="43">
        <v>46204</v>
      </c>
      <c r="B941" t="s">
        <v>116</v>
      </c>
      <c r="C941" t="s">
        <v>53</v>
      </c>
      <c r="D941" s="2">
        <v>210</v>
      </c>
    </row>
    <row r="942" spans="1:4" x14ac:dyDescent="0.25">
      <c r="A942" s="43">
        <v>46204</v>
      </c>
      <c r="B942" t="s">
        <v>116</v>
      </c>
      <c r="C942" t="s">
        <v>57</v>
      </c>
      <c r="D942" s="2">
        <v>178.31</v>
      </c>
    </row>
    <row r="943" spans="1:4" x14ac:dyDescent="0.25">
      <c r="A943" s="43">
        <v>46204</v>
      </c>
      <c r="B943" t="s">
        <v>116</v>
      </c>
      <c r="C943" t="s">
        <v>54</v>
      </c>
      <c r="D943" s="2">
        <v>131.79</v>
      </c>
    </row>
    <row r="944" spans="1:4" x14ac:dyDescent="0.25">
      <c r="A944" s="43">
        <v>46204</v>
      </c>
      <c r="B944" t="s">
        <v>116</v>
      </c>
      <c r="C944" t="s">
        <v>66</v>
      </c>
      <c r="D944" s="2">
        <v>27.99</v>
      </c>
    </row>
    <row r="945" spans="1:4" x14ac:dyDescent="0.25">
      <c r="A945" s="43">
        <v>46204</v>
      </c>
      <c r="B945" t="s">
        <v>120</v>
      </c>
      <c r="C945" t="s">
        <v>110</v>
      </c>
      <c r="D945" s="2">
        <v>5000</v>
      </c>
    </row>
    <row r="946" spans="1:4" x14ac:dyDescent="0.25">
      <c r="A946" s="43">
        <v>46204</v>
      </c>
      <c r="B946" t="s">
        <v>119</v>
      </c>
      <c r="C946" t="s">
        <v>41</v>
      </c>
      <c r="D946" s="2">
        <v>2500</v>
      </c>
    </row>
    <row r="947" spans="1:4" x14ac:dyDescent="0.25">
      <c r="A947" s="43">
        <v>46204</v>
      </c>
      <c r="B947" t="s">
        <v>119</v>
      </c>
      <c r="C947" t="s">
        <v>66</v>
      </c>
      <c r="D947" s="2">
        <v>239.99</v>
      </c>
    </row>
    <row r="948" spans="1:4" x14ac:dyDescent="0.25">
      <c r="A948" s="43">
        <v>46235</v>
      </c>
      <c r="B948" t="s">
        <v>118</v>
      </c>
      <c r="C948" t="s">
        <v>42</v>
      </c>
      <c r="D948" s="2">
        <v>37812.44</v>
      </c>
    </row>
    <row r="949" spans="1:4" x14ac:dyDescent="0.25">
      <c r="A949" s="43">
        <v>46235</v>
      </c>
      <c r="B949" t="s">
        <v>119</v>
      </c>
      <c r="C949" t="s">
        <v>42</v>
      </c>
      <c r="D949" s="2">
        <v>1500</v>
      </c>
    </row>
    <row r="950" spans="1:4" x14ac:dyDescent="0.25">
      <c r="A950" s="43">
        <v>46235</v>
      </c>
      <c r="B950" t="s">
        <v>117</v>
      </c>
      <c r="C950" t="s">
        <v>39</v>
      </c>
      <c r="D950" s="2">
        <v>20326.27</v>
      </c>
    </row>
    <row r="951" spans="1:4" x14ac:dyDescent="0.25">
      <c r="A951" s="43">
        <v>46235</v>
      </c>
      <c r="B951" t="s">
        <v>115</v>
      </c>
      <c r="C951" t="s">
        <v>77</v>
      </c>
      <c r="D951" s="2">
        <v>5989.65</v>
      </c>
    </row>
    <row r="952" spans="1:4" x14ac:dyDescent="0.25">
      <c r="A952" s="43">
        <v>46235</v>
      </c>
      <c r="B952" t="s">
        <v>120</v>
      </c>
      <c r="C952" t="s">
        <v>110</v>
      </c>
      <c r="D952" s="2">
        <v>5000</v>
      </c>
    </row>
    <row r="953" spans="1:4" x14ac:dyDescent="0.25">
      <c r="A953" s="43">
        <v>46235</v>
      </c>
      <c r="B953" t="s">
        <v>115</v>
      </c>
      <c r="C953" t="s">
        <v>56</v>
      </c>
      <c r="D953" s="2">
        <v>4501.45</v>
      </c>
    </row>
    <row r="954" spans="1:4" x14ac:dyDescent="0.25">
      <c r="A954" s="43">
        <v>46235</v>
      </c>
      <c r="B954" t="s">
        <v>119</v>
      </c>
      <c r="C954" t="s">
        <v>41</v>
      </c>
      <c r="D954" s="2">
        <v>1930</v>
      </c>
    </row>
    <row r="955" spans="1:4" x14ac:dyDescent="0.25">
      <c r="A955" s="43">
        <v>46235</v>
      </c>
      <c r="B955" t="s">
        <v>115</v>
      </c>
      <c r="C955" t="s">
        <v>58</v>
      </c>
      <c r="D955" s="2">
        <v>1442.69</v>
      </c>
    </row>
    <row r="956" spans="1:4" x14ac:dyDescent="0.25">
      <c r="A956" s="43">
        <v>46235</v>
      </c>
      <c r="B956" t="s">
        <v>116</v>
      </c>
      <c r="C956" t="s">
        <v>50</v>
      </c>
      <c r="D956" s="2">
        <v>1350</v>
      </c>
    </row>
    <row r="957" spans="1:4" x14ac:dyDescent="0.25">
      <c r="A957" s="43">
        <v>46235</v>
      </c>
      <c r="B957" t="s">
        <v>119</v>
      </c>
      <c r="C957" t="s">
        <v>66</v>
      </c>
      <c r="D957" s="2">
        <v>1025.6400000000001</v>
      </c>
    </row>
    <row r="958" spans="1:4" x14ac:dyDescent="0.25">
      <c r="A958" s="43">
        <v>46235</v>
      </c>
      <c r="B958" t="s">
        <v>115</v>
      </c>
      <c r="C958" t="s">
        <v>66</v>
      </c>
      <c r="D958" s="2">
        <v>122.28</v>
      </c>
    </row>
    <row r="959" spans="1:4" x14ac:dyDescent="0.25">
      <c r="A959" s="43">
        <v>46235</v>
      </c>
      <c r="B959" t="s">
        <v>118</v>
      </c>
      <c r="C959" t="s">
        <v>66</v>
      </c>
      <c r="D959" s="2">
        <v>35.89</v>
      </c>
    </row>
    <row r="960" spans="1:4" x14ac:dyDescent="0.25">
      <c r="A960" s="43">
        <v>46235</v>
      </c>
      <c r="B960" t="s">
        <v>116</v>
      </c>
      <c r="C960" t="s">
        <v>66</v>
      </c>
      <c r="D960" s="2">
        <v>27.99</v>
      </c>
    </row>
    <row r="961" spans="1:4" x14ac:dyDescent="0.25">
      <c r="A961" s="43">
        <v>46235</v>
      </c>
      <c r="B961" t="s">
        <v>115</v>
      </c>
      <c r="C961" t="s">
        <v>47</v>
      </c>
      <c r="D961" s="2">
        <v>1201.1199999999999</v>
      </c>
    </row>
    <row r="962" spans="1:4" x14ac:dyDescent="0.25">
      <c r="A962" s="43">
        <v>46235</v>
      </c>
      <c r="B962" t="s">
        <v>116</v>
      </c>
      <c r="C962" t="s">
        <v>52</v>
      </c>
      <c r="D962" s="2">
        <v>1200</v>
      </c>
    </row>
    <row r="963" spans="1:4" x14ac:dyDescent="0.25">
      <c r="A963" s="43">
        <v>46235</v>
      </c>
      <c r="B963" t="s">
        <v>116</v>
      </c>
      <c r="C963" t="s">
        <v>49</v>
      </c>
      <c r="D963" s="2">
        <v>1100</v>
      </c>
    </row>
    <row r="964" spans="1:4" x14ac:dyDescent="0.25">
      <c r="A964" s="43">
        <v>46235</v>
      </c>
      <c r="B964" t="s">
        <v>116</v>
      </c>
      <c r="C964" t="s">
        <v>65</v>
      </c>
      <c r="D964" s="2">
        <v>764.88</v>
      </c>
    </row>
    <row r="965" spans="1:4" x14ac:dyDescent="0.25">
      <c r="A965" s="43">
        <v>46235</v>
      </c>
      <c r="B965" t="s">
        <v>115</v>
      </c>
      <c r="C965" t="s">
        <v>55</v>
      </c>
      <c r="D965" s="2">
        <v>663.18</v>
      </c>
    </row>
    <row r="966" spans="1:4" x14ac:dyDescent="0.25">
      <c r="A966" s="43">
        <v>46235</v>
      </c>
      <c r="B966" t="s">
        <v>115</v>
      </c>
      <c r="C966" t="s">
        <v>80</v>
      </c>
      <c r="D966" s="2">
        <v>543.29</v>
      </c>
    </row>
    <row r="967" spans="1:4" x14ac:dyDescent="0.25">
      <c r="A967" s="43">
        <v>46235</v>
      </c>
      <c r="B967" t="s">
        <v>116</v>
      </c>
      <c r="C967" t="s">
        <v>51</v>
      </c>
      <c r="D967" s="2">
        <v>420.1</v>
      </c>
    </row>
    <row r="968" spans="1:4" x14ac:dyDescent="0.25">
      <c r="A968" s="43">
        <v>46235</v>
      </c>
      <c r="B968" t="s">
        <v>115</v>
      </c>
      <c r="C968" t="s">
        <v>71</v>
      </c>
      <c r="D968" s="2">
        <v>310.17</v>
      </c>
    </row>
    <row r="969" spans="1:4" x14ac:dyDescent="0.25">
      <c r="A969" s="43">
        <v>46235</v>
      </c>
      <c r="B969" t="s">
        <v>116</v>
      </c>
      <c r="C969" t="s">
        <v>53</v>
      </c>
      <c r="D969" s="2">
        <v>210</v>
      </c>
    </row>
    <row r="970" spans="1:4" x14ac:dyDescent="0.25">
      <c r="A970" s="43">
        <v>46235</v>
      </c>
      <c r="B970" t="s">
        <v>116</v>
      </c>
      <c r="C970" t="s">
        <v>57</v>
      </c>
      <c r="D970" s="2">
        <v>178.31</v>
      </c>
    </row>
    <row r="971" spans="1:4" x14ac:dyDescent="0.25">
      <c r="A971" s="43">
        <v>46235</v>
      </c>
      <c r="B971" t="s">
        <v>116</v>
      </c>
      <c r="C971" t="s">
        <v>54</v>
      </c>
      <c r="D971" s="2">
        <v>131.62</v>
      </c>
    </row>
    <row r="972" spans="1:4" x14ac:dyDescent="0.25">
      <c r="A972" s="43">
        <v>46235</v>
      </c>
      <c r="B972" t="s">
        <v>116</v>
      </c>
      <c r="C972" t="s">
        <v>40</v>
      </c>
      <c r="D972" s="2">
        <v>124.15</v>
      </c>
    </row>
    <row r="973" spans="1:4" x14ac:dyDescent="0.25">
      <c r="A973" s="43">
        <v>46235</v>
      </c>
      <c r="B973" t="s">
        <v>115</v>
      </c>
      <c r="C973" t="s">
        <v>73</v>
      </c>
      <c r="D973" s="2">
        <v>64.73</v>
      </c>
    </row>
    <row r="974" spans="1:4" x14ac:dyDescent="0.25">
      <c r="A974" s="43">
        <v>46235</v>
      </c>
      <c r="B974" t="s">
        <v>116</v>
      </c>
      <c r="C974" t="s">
        <v>60</v>
      </c>
      <c r="D974" s="2">
        <v>29.98</v>
      </c>
    </row>
    <row r="975" spans="1:4" x14ac:dyDescent="0.25">
      <c r="A975" s="43">
        <v>46235</v>
      </c>
      <c r="B975" t="s">
        <v>115</v>
      </c>
      <c r="C975" t="s">
        <v>48</v>
      </c>
      <c r="D975" s="2">
        <v>1.99</v>
      </c>
    </row>
    <row r="976" spans="1:4" x14ac:dyDescent="0.25">
      <c r="A976" s="43">
        <v>46266</v>
      </c>
      <c r="B976" t="s">
        <v>118</v>
      </c>
      <c r="C976" t="s">
        <v>42</v>
      </c>
      <c r="D976" s="2">
        <v>59247.96</v>
      </c>
    </row>
    <row r="977" spans="1:4" x14ac:dyDescent="0.25">
      <c r="A977" s="43">
        <v>46266</v>
      </c>
      <c r="B977" t="s">
        <v>118</v>
      </c>
      <c r="C977" t="s">
        <v>66</v>
      </c>
      <c r="D977" s="2">
        <v>5.07</v>
      </c>
    </row>
    <row r="978" spans="1:4" x14ac:dyDescent="0.25">
      <c r="A978" s="43">
        <v>46266</v>
      </c>
      <c r="B978" t="s">
        <v>115</v>
      </c>
      <c r="C978" t="s">
        <v>77</v>
      </c>
      <c r="D978" s="2">
        <v>24220</v>
      </c>
    </row>
    <row r="979" spans="1:4" x14ac:dyDescent="0.25">
      <c r="A979" s="43">
        <v>46266</v>
      </c>
      <c r="B979" t="s">
        <v>115</v>
      </c>
      <c r="C979" t="s">
        <v>40</v>
      </c>
      <c r="D979" s="2">
        <v>2100</v>
      </c>
    </row>
    <row r="980" spans="1:4" x14ac:dyDescent="0.25">
      <c r="A980" s="43">
        <v>46266</v>
      </c>
      <c r="B980" t="s">
        <v>115</v>
      </c>
      <c r="C980" t="s">
        <v>58</v>
      </c>
      <c r="D980" s="2">
        <v>1442.69</v>
      </c>
    </row>
    <row r="981" spans="1:4" x14ac:dyDescent="0.25">
      <c r="A981" s="43">
        <v>46266</v>
      </c>
      <c r="B981" t="s">
        <v>115</v>
      </c>
      <c r="C981" t="s">
        <v>47</v>
      </c>
      <c r="D981" s="2">
        <v>637.70000000000005</v>
      </c>
    </row>
    <row r="982" spans="1:4" x14ac:dyDescent="0.25">
      <c r="A982" s="43">
        <v>46266</v>
      </c>
      <c r="B982" t="s">
        <v>115</v>
      </c>
      <c r="C982" t="s">
        <v>66</v>
      </c>
      <c r="D982" s="2">
        <v>124.66</v>
      </c>
    </row>
    <row r="983" spans="1:4" x14ac:dyDescent="0.25">
      <c r="A983" s="43">
        <v>46266</v>
      </c>
      <c r="B983" t="s">
        <v>115</v>
      </c>
      <c r="C983" t="s">
        <v>73</v>
      </c>
      <c r="D983" s="2">
        <v>42.15</v>
      </c>
    </row>
    <row r="984" spans="1:4" x14ac:dyDescent="0.25">
      <c r="A984" s="43">
        <v>46266</v>
      </c>
      <c r="B984" t="s">
        <v>115</v>
      </c>
      <c r="C984" t="s">
        <v>55</v>
      </c>
      <c r="D984" s="2">
        <v>33.47</v>
      </c>
    </row>
    <row r="985" spans="1:4" x14ac:dyDescent="0.25">
      <c r="A985" s="43">
        <v>46266</v>
      </c>
      <c r="B985" t="s">
        <v>117</v>
      </c>
      <c r="C985" t="s">
        <v>39</v>
      </c>
      <c r="D985" s="2">
        <v>9045.48</v>
      </c>
    </row>
    <row r="986" spans="1:4" x14ac:dyDescent="0.25">
      <c r="A986" s="43">
        <v>46266</v>
      </c>
      <c r="B986" t="s">
        <v>119</v>
      </c>
      <c r="C986" t="s">
        <v>42</v>
      </c>
      <c r="D986" s="2">
        <v>5500</v>
      </c>
    </row>
    <row r="987" spans="1:4" x14ac:dyDescent="0.25">
      <c r="A987" s="43">
        <v>46266</v>
      </c>
      <c r="B987" t="s">
        <v>119</v>
      </c>
      <c r="C987" t="s">
        <v>66</v>
      </c>
      <c r="D987" s="2">
        <v>789.99</v>
      </c>
    </row>
    <row r="988" spans="1:4" x14ac:dyDescent="0.25">
      <c r="A988" s="43">
        <v>46266</v>
      </c>
      <c r="B988" t="s">
        <v>120</v>
      </c>
      <c r="C988" t="s">
        <v>110</v>
      </c>
      <c r="D988" s="2">
        <v>5000</v>
      </c>
    </row>
    <row r="989" spans="1:4" x14ac:dyDescent="0.25">
      <c r="A989" s="43">
        <v>46266</v>
      </c>
      <c r="B989" t="s">
        <v>116</v>
      </c>
      <c r="C989" t="s">
        <v>50</v>
      </c>
      <c r="D989" s="2">
        <v>1350</v>
      </c>
    </row>
    <row r="990" spans="1:4" x14ac:dyDescent="0.25">
      <c r="A990" s="43">
        <v>46266</v>
      </c>
      <c r="B990" t="s">
        <v>116</v>
      </c>
      <c r="C990" t="s">
        <v>52</v>
      </c>
      <c r="D990" s="2">
        <v>1200</v>
      </c>
    </row>
    <row r="991" spans="1:4" x14ac:dyDescent="0.25">
      <c r="A991" s="43">
        <v>46266</v>
      </c>
      <c r="B991" t="s">
        <v>116</v>
      </c>
      <c r="C991" t="s">
        <v>49</v>
      </c>
      <c r="D991" s="2">
        <v>1100</v>
      </c>
    </row>
    <row r="992" spans="1:4" x14ac:dyDescent="0.25">
      <c r="A992" s="43">
        <v>46266</v>
      </c>
      <c r="B992" t="s">
        <v>116</v>
      </c>
      <c r="C992" t="s">
        <v>51</v>
      </c>
      <c r="D992" s="2">
        <v>327.51</v>
      </c>
    </row>
    <row r="993" spans="1:4" x14ac:dyDescent="0.25">
      <c r="A993" s="43">
        <v>46266</v>
      </c>
      <c r="B993" t="s">
        <v>116</v>
      </c>
      <c r="C993" t="s">
        <v>65</v>
      </c>
      <c r="D993" s="2">
        <v>227.88</v>
      </c>
    </row>
    <row r="994" spans="1:4" x14ac:dyDescent="0.25">
      <c r="A994" s="43">
        <v>46266</v>
      </c>
      <c r="B994" t="s">
        <v>116</v>
      </c>
      <c r="C994" t="s">
        <v>53</v>
      </c>
      <c r="D994" s="2">
        <v>210</v>
      </c>
    </row>
    <row r="995" spans="1:4" x14ac:dyDescent="0.25">
      <c r="A995" s="43">
        <v>46266</v>
      </c>
      <c r="B995" t="s">
        <v>116</v>
      </c>
      <c r="C995" t="s">
        <v>57</v>
      </c>
      <c r="D995" s="2">
        <v>178.31</v>
      </c>
    </row>
    <row r="996" spans="1:4" x14ac:dyDescent="0.25">
      <c r="A996" s="43">
        <v>46266</v>
      </c>
      <c r="B996" t="s">
        <v>116</v>
      </c>
      <c r="C996" t="s">
        <v>54</v>
      </c>
      <c r="D996" s="2">
        <v>129</v>
      </c>
    </row>
    <row r="997" spans="1:4" x14ac:dyDescent="0.25">
      <c r="A997" s="43">
        <v>46266</v>
      </c>
      <c r="B997" t="s">
        <v>116</v>
      </c>
      <c r="C997" t="s">
        <v>40</v>
      </c>
      <c r="D997" s="2">
        <v>124.15</v>
      </c>
    </row>
    <row r="998" spans="1:4" x14ac:dyDescent="0.25">
      <c r="A998" s="43">
        <v>46266</v>
      </c>
      <c r="B998" t="s">
        <v>116</v>
      </c>
      <c r="C998" t="s">
        <v>66</v>
      </c>
      <c r="D998" s="2">
        <v>27.99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474AB-1F20-4CBA-BF23-DCBC35271A4D}">
  <dimension ref="A1:AW80"/>
  <sheetViews>
    <sheetView showGridLines="0" tabSelected="1" topLeftCell="A45" workbookViewId="0">
      <pane xSplit="1" topLeftCell="AN1" activePane="topRight" state="frozen"/>
      <selection pane="topRight" activeCell="BA73" sqref="BA73"/>
    </sheetView>
  </sheetViews>
  <sheetFormatPr defaultRowHeight="15" x14ac:dyDescent="0.25"/>
  <cols>
    <col min="1" max="1" width="56.5703125" customWidth="1"/>
    <col min="2" max="39" width="15.7109375" hidden="1" customWidth="1"/>
    <col min="40" max="41" width="15.7109375" customWidth="1"/>
    <col min="42" max="47" width="15.7109375" hidden="1" customWidth="1"/>
    <col min="48" max="49" width="16.7109375" customWidth="1"/>
  </cols>
  <sheetData>
    <row r="1" spans="1:49" ht="15.75" x14ac:dyDescent="0.25">
      <c r="A1" s="20" t="s">
        <v>26</v>
      </c>
      <c r="B1" s="44">
        <v>45689</v>
      </c>
      <c r="C1" s="44"/>
      <c r="D1" s="44">
        <v>45717</v>
      </c>
      <c r="E1" s="44"/>
      <c r="F1" s="44">
        <v>45748</v>
      </c>
      <c r="G1" s="44"/>
      <c r="H1" s="44">
        <v>45778</v>
      </c>
      <c r="I1" s="44"/>
      <c r="J1" s="44">
        <v>45809</v>
      </c>
      <c r="K1" s="44"/>
      <c r="L1" s="44">
        <v>45839</v>
      </c>
      <c r="M1" s="44"/>
      <c r="N1" s="44">
        <v>45870</v>
      </c>
      <c r="O1" s="44"/>
      <c r="P1" s="44">
        <v>45901</v>
      </c>
      <c r="Q1" s="44"/>
      <c r="R1" s="44">
        <v>45931</v>
      </c>
      <c r="S1" s="44"/>
      <c r="T1" s="44">
        <v>45962</v>
      </c>
      <c r="U1" s="44"/>
      <c r="V1" s="44">
        <v>45992</v>
      </c>
      <c r="W1" s="44"/>
      <c r="X1" s="44">
        <v>46023</v>
      </c>
      <c r="Y1" s="44"/>
      <c r="Z1" s="44">
        <v>46054</v>
      </c>
      <c r="AA1" s="44"/>
      <c r="AB1" s="44">
        <v>46082</v>
      </c>
      <c r="AC1" s="44"/>
      <c r="AD1" s="44">
        <v>46113</v>
      </c>
      <c r="AE1" s="44"/>
      <c r="AF1" s="44">
        <v>46143</v>
      </c>
      <c r="AG1" s="44"/>
      <c r="AH1" s="44">
        <v>46174</v>
      </c>
      <c r="AI1" s="44"/>
      <c r="AJ1" s="44">
        <v>46204</v>
      </c>
      <c r="AK1" s="44"/>
      <c r="AL1" s="44">
        <v>46235</v>
      </c>
      <c r="AM1" s="44"/>
      <c r="AN1" s="44">
        <v>46266</v>
      </c>
      <c r="AO1" s="44"/>
      <c r="AP1" s="44">
        <v>46296</v>
      </c>
      <c r="AQ1" s="44"/>
      <c r="AR1" s="44">
        <v>46327</v>
      </c>
      <c r="AS1" s="44"/>
      <c r="AT1" s="44">
        <v>46357</v>
      </c>
      <c r="AU1" s="44"/>
      <c r="AV1" s="45" t="s">
        <v>86</v>
      </c>
      <c r="AW1" s="45"/>
    </row>
    <row r="2" spans="1:49" ht="15.75" x14ac:dyDescent="0.25">
      <c r="A2" s="21" t="s">
        <v>27</v>
      </c>
      <c r="B2" s="18" t="s">
        <v>87</v>
      </c>
      <c r="C2" s="19" t="s">
        <v>88</v>
      </c>
      <c r="D2" s="18" t="s">
        <v>87</v>
      </c>
      <c r="E2" s="19" t="s">
        <v>88</v>
      </c>
      <c r="F2" s="18" t="s">
        <v>87</v>
      </c>
      <c r="G2" s="19" t="s">
        <v>88</v>
      </c>
      <c r="H2" s="18" t="s">
        <v>87</v>
      </c>
      <c r="I2" s="19" t="s">
        <v>88</v>
      </c>
      <c r="J2" s="18" t="s">
        <v>87</v>
      </c>
      <c r="K2" s="19" t="s">
        <v>88</v>
      </c>
      <c r="L2" s="18" t="s">
        <v>87</v>
      </c>
      <c r="M2" s="19" t="s">
        <v>88</v>
      </c>
      <c r="N2" s="18" t="s">
        <v>87</v>
      </c>
      <c r="O2" s="19" t="s">
        <v>88</v>
      </c>
      <c r="P2" s="18" t="s">
        <v>87</v>
      </c>
      <c r="Q2" s="19" t="s">
        <v>88</v>
      </c>
      <c r="R2" s="18" t="s">
        <v>87</v>
      </c>
      <c r="S2" s="19" t="s">
        <v>88</v>
      </c>
      <c r="T2" s="18" t="s">
        <v>87</v>
      </c>
      <c r="U2" s="19" t="s">
        <v>88</v>
      </c>
      <c r="V2" s="18" t="s">
        <v>87</v>
      </c>
      <c r="W2" s="19" t="s">
        <v>88</v>
      </c>
      <c r="X2" s="18" t="s">
        <v>87</v>
      </c>
      <c r="Y2" s="19" t="s">
        <v>88</v>
      </c>
      <c r="Z2" s="18" t="s">
        <v>87</v>
      </c>
      <c r="AA2" s="19" t="s">
        <v>88</v>
      </c>
      <c r="AB2" s="18" t="s">
        <v>87</v>
      </c>
      <c r="AC2" s="19" t="s">
        <v>88</v>
      </c>
      <c r="AD2" s="18" t="s">
        <v>87</v>
      </c>
      <c r="AE2" s="19" t="s">
        <v>88</v>
      </c>
      <c r="AF2" s="18" t="s">
        <v>87</v>
      </c>
      <c r="AG2" s="19" t="s">
        <v>88</v>
      </c>
      <c r="AH2" s="18" t="s">
        <v>87</v>
      </c>
      <c r="AI2" s="19" t="s">
        <v>88</v>
      </c>
      <c r="AJ2" s="18" t="s">
        <v>87</v>
      </c>
      <c r="AK2" s="19" t="s">
        <v>88</v>
      </c>
      <c r="AL2" s="18" t="s">
        <v>87</v>
      </c>
      <c r="AM2" s="19" t="s">
        <v>88</v>
      </c>
      <c r="AN2" s="18" t="s">
        <v>87</v>
      </c>
      <c r="AO2" s="19" t="s">
        <v>88</v>
      </c>
      <c r="AP2" s="18" t="s">
        <v>87</v>
      </c>
      <c r="AQ2" s="19" t="s">
        <v>88</v>
      </c>
      <c r="AR2" s="18" t="s">
        <v>87</v>
      </c>
      <c r="AS2" s="19" t="s">
        <v>88</v>
      </c>
      <c r="AT2" s="18" t="s">
        <v>87</v>
      </c>
      <c r="AU2" s="19" t="s">
        <v>88</v>
      </c>
      <c r="AV2" s="18" t="s">
        <v>87</v>
      </c>
      <c r="AW2" s="22" t="s">
        <v>88</v>
      </c>
    </row>
    <row r="3" spans="1:49" ht="15.75" x14ac:dyDescent="0.25">
      <c r="A3" s="23" t="s">
        <v>89</v>
      </c>
      <c r="B3" s="5">
        <v>0</v>
      </c>
      <c r="C3" s="5">
        <v>0</v>
      </c>
      <c r="D3" s="5">
        <v>99986.31</v>
      </c>
      <c r="E3" s="5">
        <v>100786.31</v>
      </c>
      <c r="F3" s="5">
        <v>128076.42</v>
      </c>
      <c r="G3" s="5">
        <v>126087.46</v>
      </c>
      <c r="H3" s="5">
        <v>147221.70000000001</v>
      </c>
      <c r="I3" s="5">
        <v>136197.73000000001</v>
      </c>
      <c r="J3" s="5">
        <v>173718.82</v>
      </c>
      <c r="K3" s="5">
        <v>160082.93</v>
      </c>
      <c r="L3" s="5">
        <v>154209.98000000001</v>
      </c>
      <c r="M3" s="5">
        <v>138201.79999999999</v>
      </c>
      <c r="N3" s="5">
        <v>150821.15</v>
      </c>
      <c r="O3" s="5">
        <v>124883.07</v>
      </c>
      <c r="P3" s="5">
        <v>243323.78</v>
      </c>
      <c r="Q3" s="5">
        <v>225073.45</v>
      </c>
      <c r="R3" s="5">
        <v>337725.15</v>
      </c>
      <c r="S3" s="5">
        <v>271006.96000000002</v>
      </c>
      <c r="T3" s="5">
        <v>351500.46</v>
      </c>
      <c r="U3" s="5">
        <v>281109.46999999997</v>
      </c>
      <c r="V3" s="5">
        <v>355816.76</v>
      </c>
      <c r="W3" s="5">
        <v>283229.62</v>
      </c>
      <c r="X3" s="5">
        <v>351211.23</v>
      </c>
      <c r="Y3" s="5">
        <v>277926.71999999997</v>
      </c>
      <c r="Z3" s="5">
        <v>386563.43</v>
      </c>
      <c r="AA3" s="5">
        <v>301730.61</v>
      </c>
      <c r="AB3" s="5">
        <v>348551.27</v>
      </c>
      <c r="AC3" s="5">
        <v>268716.44</v>
      </c>
      <c r="AD3" s="5">
        <v>321464.82</v>
      </c>
      <c r="AE3" s="5">
        <v>233499.16</v>
      </c>
      <c r="AF3" s="5">
        <v>360986.55</v>
      </c>
      <c r="AG3" s="5">
        <v>260241.21</v>
      </c>
      <c r="AH3" s="5">
        <v>472752.4</v>
      </c>
      <c r="AI3" s="5">
        <v>339469.57</v>
      </c>
      <c r="AJ3" s="5">
        <v>527907.91</v>
      </c>
      <c r="AK3" s="5">
        <v>375744.29</v>
      </c>
      <c r="AL3" s="5">
        <v>593850.48</v>
      </c>
      <c r="AM3" s="5">
        <v>430173.37</v>
      </c>
      <c r="AN3" s="5">
        <v>602807.21</v>
      </c>
      <c r="AO3" s="5">
        <v>422919.12</v>
      </c>
      <c r="AP3" s="5">
        <v>650579.51</v>
      </c>
      <c r="AQ3" s="5">
        <v>444032.13</v>
      </c>
      <c r="AR3" s="5">
        <v>634276.06999999995</v>
      </c>
      <c r="AS3" s="5">
        <v>444032.13</v>
      </c>
      <c r="AT3" s="5">
        <v>614992.13</v>
      </c>
      <c r="AU3" s="5">
        <v>444032.13</v>
      </c>
      <c r="AV3" s="5">
        <v>0</v>
      </c>
      <c r="AW3" s="24">
        <v>0</v>
      </c>
    </row>
    <row r="4" spans="1:49" ht="15.75" x14ac:dyDescent="0.25">
      <c r="A4" s="25" t="s">
        <v>28</v>
      </c>
      <c r="B4" s="6">
        <v>101397.1</v>
      </c>
      <c r="C4" s="6">
        <v>102197.1</v>
      </c>
      <c r="D4" s="6">
        <v>55056.1</v>
      </c>
      <c r="E4" s="6">
        <v>52269.97</v>
      </c>
      <c r="F4" s="6">
        <v>60285.66</v>
      </c>
      <c r="G4" s="6">
        <v>51250.65</v>
      </c>
      <c r="H4" s="6">
        <v>48437.52</v>
      </c>
      <c r="I4" s="6">
        <v>45843.39</v>
      </c>
      <c r="J4" s="6">
        <v>21624.42</v>
      </c>
      <c r="K4" s="6">
        <v>19234.34</v>
      </c>
      <c r="L4" s="6">
        <v>29185.82</v>
      </c>
      <c r="M4" s="6">
        <v>19255.919999999998</v>
      </c>
      <c r="N4" s="6">
        <v>109825.79</v>
      </c>
      <c r="O4" s="6">
        <v>117516.16</v>
      </c>
      <c r="P4" s="6">
        <v>272665.93</v>
      </c>
      <c r="Q4" s="6">
        <v>224198.07</v>
      </c>
      <c r="R4" s="6">
        <v>52552.73</v>
      </c>
      <c r="S4" s="6">
        <v>48879.93</v>
      </c>
      <c r="T4" s="6">
        <v>28543.07</v>
      </c>
      <c r="U4" s="6">
        <v>26346.92</v>
      </c>
      <c r="V4" s="6">
        <v>18902.52</v>
      </c>
      <c r="W4" s="6">
        <v>18205.150000000001</v>
      </c>
      <c r="X4" s="6">
        <v>68401.89</v>
      </c>
      <c r="Y4" s="6">
        <v>56853.58</v>
      </c>
      <c r="Z4" s="6">
        <v>19168.61</v>
      </c>
      <c r="AA4" s="6">
        <v>24166.6</v>
      </c>
      <c r="AB4" s="6">
        <v>93558.61</v>
      </c>
      <c r="AC4" s="6">
        <v>85427.78</v>
      </c>
      <c r="AD4" s="6">
        <v>177646.69</v>
      </c>
      <c r="AE4" s="6">
        <v>164867.01</v>
      </c>
      <c r="AF4" s="6">
        <v>224218.98</v>
      </c>
      <c r="AG4" s="6">
        <v>191681.49</v>
      </c>
      <c r="AH4" s="6">
        <v>213092.98</v>
      </c>
      <c r="AI4" s="6">
        <v>194212.19</v>
      </c>
      <c r="AJ4" s="6">
        <v>166078.72</v>
      </c>
      <c r="AK4" s="6">
        <v>154565.23000000001</v>
      </c>
      <c r="AL4" s="6">
        <v>98690.69</v>
      </c>
      <c r="AM4" s="6">
        <v>80120.289999999994</v>
      </c>
      <c r="AN4" s="6">
        <v>58389.440000000002</v>
      </c>
      <c r="AO4" s="6">
        <v>54204.63</v>
      </c>
      <c r="AP4" s="6">
        <v>10856.35</v>
      </c>
      <c r="AQ4" s="6">
        <v>0</v>
      </c>
      <c r="AR4" s="6">
        <v>7258.12</v>
      </c>
      <c r="AS4" s="6">
        <v>0</v>
      </c>
      <c r="AT4" s="6">
        <v>3584.9</v>
      </c>
      <c r="AU4" s="6">
        <v>0</v>
      </c>
      <c r="AV4" s="6">
        <f>SUM(B4+D4+F4+H4+J4+L4+N4+P4+R4+T4+V4+X4+Z4+AB4+AD4+AF4+AH4+AJ4+AL4+AN4+AP4+AR4+AT4)</f>
        <v>1939422.64</v>
      </c>
      <c r="AW4" s="26">
        <f>SUM(C4+E4+G4+I4+K4+M4+O4+Q4+S4+U4+W4+Y4+AA4+AC4+AE4+AG4+AI4+AK4+AM4+AO4+AQ4+AS4+AU4)</f>
        <v>1731296.4000000001</v>
      </c>
    </row>
    <row r="5" spans="1:49" s="3" customFormat="1" x14ac:dyDescent="0.25">
      <c r="A5" s="27" t="s">
        <v>90</v>
      </c>
      <c r="B5" s="7">
        <v>0</v>
      </c>
      <c r="C5" s="7">
        <v>800</v>
      </c>
      <c r="D5" s="7">
        <v>55056.1</v>
      </c>
      <c r="E5" s="7">
        <v>52269.97</v>
      </c>
      <c r="F5" s="7">
        <v>60285.66</v>
      </c>
      <c r="G5" s="7">
        <v>51250.65</v>
      </c>
      <c r="H5" s="7">
        <v>48257.52</v>
      </c>
      <c r="I5" s="7">
        <v>45663.39</v>
      </c>
      <c r="J5" s="7">
        <v>21598.22</v>
      </c>
      <c r="K5" s="7">
        <v>19208.14</v>
      </c>
      <c r="L5" s="7">
        <v>27934.46</v>
      </c>
      <c r="M5" s="7">
        <v>18004.560000000001</v>
      </c>
      <c r="N5" s="7">
        <v>109811.39</v>
      </c>
      <c r="O5" s="7">
        <v>117501.75999999999</v>
      </c>
      <c r="P5" s="7">
        <v>247342.78</v>
      </c>
      <c r="Q5" s="7">
        <v>198874.92</v>
      </c>
      <c r="R5" s="7">
        <v>51495.49</v>
      </c>
      <c r="S5" s="7">
        <v>47822.69</v>
      </c>
      <c r="T5" s="7">
        <v>26614.93</v>
      </c>
      <c r="U5" s="7">
        <v>24418.78</v>
      </c>
      <c r="V5" s="7">
        <v>17247.79</v>
      </c>
      <c r="W5" s="7">
        <v>16550.419999999998</v>
      </c>
      <c r="X5" s="7">
        <v>66349.289999999994</v>
      </c>
      <c r="Y5" s="7">
        <v>54800.98</v>
      </c>
      <c r="Z5" s="7">
        <v>18292.53</v>
      </c>
      <c r="AA5" s="7">
        <v>23290.52</v>
      </c>
      <c r="AB5" s="7">
        <v>73190.570000000007</v>
      </c>
      <c r="AC5" s="7">
        <v>65059.74</v>
      </c>
      <c r="AD5" s="7">
        <v>174245.07</v>
      </c>
      <c r="AE5" s="7">
        <v>161465.39000000001</v>
      </c>
      <c r="AF5" s="7">
        <v>223124.68</v>
      </c>
      <c r="AG5" s="7">
        <v>190587.19</v>
      </c>
      <c r="AH5" s="7">
        <v>210308.05</v>
      </c>
      <c r="AI5" s="7">
        <v>191427.26</v>
      </c>
      <c r="AJ5" s="7">
        <v>165525.16</v>
      </c>
      <c r="AK5" s="7">
        <v>154011.67000000001</v>
      </c>
      <c r="AL5" s="7">
        <v>85859.68</v>
      </c>
      <c r="AM5" s="7">
        <v>67259.81</v>
      </c>
      <c r="AN5" s="7">
        <v>57361.42</v>
      </c>
      <c r="AO5" s="7">
        <v>53206.080000000002</v>
      </c>
      <c r="AP5" s="7">
        <v>10856.35</v>
      </c>
      <c r="AQ5" s="7">
        <v>0</v>
      </c>
      <c r="AR5" s="7">
        <v>7258.12</v>
      </c>
      <c r="AS5" s="7">
        <v>0</v>
      </c>
      <c r="AT5" s="7">
        <v>3584.9</v>
      </c>
      <c r="AU5" s="7">
        <v>0</v>
      </c>
      <c r="AV5" s="7">
        <f t="shared" ref="AV5:AV68" si="0">SUM(B5+D5+F5+H5+J5+L5+N5+P5+R5+T5+V5+X5+Z5+AB5+AD5+AF5+AH5+AJ5+AL5+AN5+AP5+AR5+AT5)</f>
        <v>1761600.1600000001</v>
      </c>
      <c r="AW5" s="28">
        <f t="shared" ref="AW5:AW68" si="1">SUM(C5+E5+G5+I5+K5+M5+O5+Q5+S5+U5+W5+Y5+AA5+AC5+AE5+AG5+AI5+AK5+AM5+AO5+AQ5+AS5+AU5)</f>
        <v>1553473.9200000002</v>
      </c>
    </row>
    <row r="6" spans="1:49" x14ac:dyDescent="0.25">
      <c r="A6" s="29" t="s">
        <v>29</v>
      </c>
      <c r="B6" s="8">
        <v>0</v>
      </c>
      <c r="C6" s="9">
        <v>0</v>
      </c>
      <c r="D6" s="8">
        <v>0</v>
      </c>
      <c r="E6" s="9">
        <v>0</v>
      </c>
      <c r="F6" s="8">
        <v>0</v>
      </c>
      <c r="G6" s="9">
        <v>0</v>
      </c>
      <c r="H6" s="8">
        <v>0</v>
      </c>
      <c r="I6" s="9">
        <v>0</v>
      </c>
      <c r="J6" s="8">
        <v>0</v>
      </c>
      <c r="K6" s="9">
        <v>0</v>
      </c>
      <c r="L6" s="8">
        <v>0</v>
      </c>
      <c r="M6" s="9">
        <v>0</v>
      </c>
      <c r="N6" s="8">
        <v>0</v>
      </c>
      <c r="O6" s="9">
        <v>0</v>
      </c>
      <c r="P6" s="8">
        <v>0</v>
      </c>
      <c r="Q6" s="9">
        <v>0</v>
      </c>
      <c r="R6" s="8">
        <v>0</v>
      </c>
      <c r="S6" s="9">
        <v>0</v>
      </c>
      <c r="T6" s="8">
        <v>0</v>
      </c>
      <c r="U6" s="9">
        <v>0</v>
      </c>
      <c r="V6" s="8">
        <v>1000</v>
      </c>
      <c r="W6" s="9">
        <v>1000</v>
      </c>
      <c r="X6" s="8">
        <v>2000</v>
      </c>
      <c r="Y6" s="9">
        <v>2000</v>
      </c>
      <c r="Z6" s="8">
        <v>2000</v>
      </c>
      <c r="AA6" s="9">
        <v>2000</v>
      </c>
      <c r="AB6" s="8">
        <v>0</v>
      </c>
      <c r="AC6" s="9">
        <v>0</v>
      </c>
      <c r="AD6" s="8">
        <v>0</v>
      </c>
      <c r="AE6" s="9">
        <v>0</v>
      </c>
      <c r="AF6" s="8">
        <v>0</v>
      </c>
      <c r="AG6" s="9">
        <v>0</v>
      </c>
      <c r="AH6" s="8">
        <v>0</v>
      </c>
      <c r="AI6" s="9">
        <v>0</v>
      </c>
      <c r="AJ6" s="8">
        <v>0</v>
      </c>
      <c r="AK6" s="9">
        <v>0</v>
      </c>
      <c r="AL6" s="8">
        <v>0</v>
      </c>
      <c r="AM6" s="9">
        <v>0</v>
      </c>
      <c r="AN6" s="8">
        <v>0</v>
      </c>
      <c r="AO6" s="9">
        <v>0</v>
      </c>
      <c r="AP6" s="8">
        <v>0</v>
      </c>
      <c r="AQ6" s="9">
        <v>0</v>
      </c>
      <c r="AR6" s="8">
        <v>0</v>
      </c>
      <c r="AS6" s="9">
        <v>0</v>
      </c>
      <c r="AT6" s="8">
        <v>0</v>
      </c>
      <c r="AU6" s="9">
        <v>0</v>
      </c>
      <c r="AV6" s="8">
        <f t="shared" si="0"/>
        <v>5000</v>
      </c>
      <c r="AW6" s="30">
        <f t="shared" si="1"/>
        <v>5000</v>
      </c>
    </row>
    <row r="7" spans="1:49" x14ac:dyDescent="0.25">
      <c r="A7" s="29" t="s">
        <v>30</v>
      </c>
      <c r="B7" s="8">
        <v>0</v>
      </c>
      <c r="C7" s="9">
        <v>800</v>
      </c>
      <c r="D7" s="8">
        <v>55056.1</v>
      </c>
      <c r="E7" s="9">
        <v>52269.97</v>
      </c>
      <c r="F7" s="8">
        <v>60285.66</v>
      </c>
      <c r="G7" s="9">
        <v>51250.65</v>
      </c>
      <c r="H7" s="8">
        <v>48257.52</v>
      </c>
      <c r="I7" s="9">
        <v>45663.39</v>
      </c>
      <c r="J7" s="8">
        <v>21598.22</v>
      </c>
      <c r="K7" s="9">
        <v>19208.14</v>
      </c>
      <c r="L7" s="8">
        <v>27934.46</v>
      </c>
      <c r="M7" s="9">
        <v>18004.560000000001</v>
      </c>
      <c r="N7" s="8">
        <v>109811.39</v>
      </c>
      <c r="O7" s="9">
        <v>117501.75999999999</v>
      </c>
      <c r="P7" s="8">
        <v>247342.78</v>
      </c>
      <c r="Q7" s="9">
        <v>198874.92</v>
      </c>
      <c r="R7" s="8">
        <v>51495.49</v>
      </c>
      <c r="S7" s="9">
        <v>47822.69</v>
      </c>
      <c r="T7" s="8">
        <v>26614.93</v>
      </c>
      <c r="U7" s="9">
        <v>24418.78</v>
      </c>
      <c r="V7" s="8">
        <v>16247.79</v>
      </c>
      <c r="W7" s="9">
        <v>15550.42</v>
      </c>
      <c r="X7" s="8">
        <v>64349.29</v>
      </c>
      <c r="Y7" s="9">
        <v>52800.98</v>
      </c>
      <c r="Z7" s="8">
        <v>16292.53</v>
      </c>
      <c r="AA7" s="9">
        <v>21290.52</v>
      </c>
      <c r="AB7" s="8">
        <v>73190.570000000007</v>
      </c>
      <c r="AC7" s="9">
        <v>65059.74</v>
      </c>
      <c r="AD7" s="8">
        <v>174245.07</v>
      </c>
      <c r="AE7" s="9">
        <v>161465.39000000001</v>
      </c>
      <c r="AF7" s="8">
        <v>223124.68</v>
      </c>
      <c r="AG7" s="9">
        <v>190587.19</v>
      </c>
      <c r="AH7" s="8">
        <v>210308.05</v>
      </c>
      <c r="AI7" s="9">
        <v>191427.26</v>
      </c>
      <c r="AJ7" s="8">
        <v>165525.16</v>
      </c>
      <c r="AK7" s="9">
        <v>154011.67000000001</v>
      </c>
      <c r="AL7" s="8">
        <v>85859.68</v>
      </c>
      <c r="AM7" s="9">
        <v>67259.81</v>
      </c>
      <c r="AN7" s="8">
        <v>57361.42</v>
      </c>
      <c r="AO7" s="9">
        <v>53206.080000000002</v>
      </c>
      <c r="AP7" s="8">
        <v>10856.35</v>
      </c>
      <c r="AQ7" s="9">
        <v>0</v>
      </c>
      <c r="AR7" s="8">
        <v>7258.12</v>
      </c>
      <c r="AS7" s="9">
        <v>0</v>
      </c>
      <c r="AT7" s="8">
        <v>3584.9</v>
      </c>
      <c r="AU7" s="9">
        <v>0</v>
      </c>
      <c r="AV7" s="8">
        <f t="shared" si="0"/>
        <v>1756600.1600000001</v>
      </c>
      <c r="AW7" s="30">
        <f t="shared" si="1"/>
        <v>1548473.9200000002</v>
      </c>
    </row>
    <row r="8" spans="1:49" s="3" customFormat="1" x14ac:dyDescent="0.25">
      <c r="A8" s="27" t="s">
        <v>91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316.75</v>
      </c>
      <c r="Q8" s="7">
        <v>316.75</v>
      </c>
      <c r="R8" s="7">
        <v>988.29</v>
      </c>
      <c r="S8" s="7">
        <v>988.29</v>
      </c>
      <c r="T8" s="7">
        <v>1759.14</v>
      </c>
      <c r="U8" s="7">
        <v>1759.14</v>
      </c>
      <c r="V8" s="7">
        <v>1645.13</v>
      </c>
      <c r="W8" s="7">
        <v>1645.13</v>
      </c>
      <c r="X8" s="7">
        <v>2052.6</v>
      </c>
      <c r="Y8" s="7">
        <v>2052.6</v>
      </c>
      <c r="Z8" s="7">
        <v>698.09</v>
      </c>
      <c r="AA8" s="7">
        <v>698.09</v>
      </c>
      <c r="AB8" s="7">
        <v>2073.41</v>
      </c>
      <c r="AC8" s="7">
        <v>2073.41</v>
      </c>
      <c r="AD8" s="7">
        <v>181.69</v>
      </c>
      <c r="AE8" s="7">
        <v>181.69</v>
      </c>
      <c r="AF8" s="7">
        <v>74.8</v>
      </c>
      <c r="AG8" s="7">
        <v>74.8</v>
      </c>
      <c r="AH8" s="7">
        <v>586.03</v>
      </c>
      <c r="AI8" s="7">
        <v>586.03</v>
      </c>
      <c r="AJ8" s="7">
        <v>0</v>
      </c>
      <c r="AK8" s="7">
        <v>0</v>
      </c>
      <c r="AL8" s="7">
        <v>5166.37</v>
      </c>
      <c r="AM8" s="7">
        <v>5166.37</v>
      </c>
      <c r="AN8" s="7">
        <v>91.44</v>
      </c>
      <c r="AO8" s="7">
        <v>91.44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f t="shared" si="0"/>
        <v>15633.74</v>
      </c>
      <c r="AW8" s="28">
        <f t="shared" si="1"/>
        <v>15633.74</v>
      </c>
    </row>
    <row r="9" spans="1:49" x14ac:dyDescent="0.25">
      <c r="A9" s="29" t="s">
        <v>31</v>
      </c>
      <c r="B9" s="8">
        <v>0</v>
      </c>
      <c r="C9" s="9">
        <v>0</v>
      </c>
      <c r="D9" s="8">
        <v>0</v>
      </c>
      <c r="E9" s="9">
        <v>0</v>
      </c>
      <c r="F9" s="8">
        <v>0</v>
      </c>
      <c r="G9" s="9">
        <v>0</v>
      </c>
      <c r="H9" s="8">
        <v>0</v>
      </c>
      <c r="I9" s="9">
        <v>0</v>
      </c>
      <c r="J9" s="8">
        <v>0</v>
      </c>
      <c r="K9" s="9">
        <v>0</v>
      </c>
      <c r="L9" s="8">
        <v>0</v>
      </c>
      <c r="M9" s="9">
        <v>0</v>
      </c>
      <c r="N9" s="8">
        <v>0</v>
      </c>
      <c r="O9" s="9">
        <v>0</v>
      </c>
      <c r="P9" s="8">
        <v>316.75</v>
      </c>
      <c r="Q9" s="9">
        <v>316.75</v>
      </c>
      <c r="R9" s="8">
        <v>988.29</v>
      </c>
      <c r="S9" s="9">
        <v>988.29</v>
      </c>
      <c r="T9" s="8">
        <v>1759.14</v>
      </c>
      <c r="U9" s="9">
        <v>1759.14</v>
      </c>
      <c r="V9" s="8">
        <v>1645.13</v>
      </c>
      <c r="W9" s="9">
        <v>1645.13</v>
      </c>
      <c r="X9" s="8">
        <v>2052.6</v>
      </c>
      <c r="Y9" s="9">
        <v>2052.6</v>
      </c>
      <c r="Z9" s="8">
        <v>698.09</v>
      </c>
      <c r="AA9" s="9">
        <v>698.09</v>
      </c>
      <c r="AB9" s="8">
        <v>2073.41</v>
      </c>
      <c r="AC9" s="9">
        <v>2073.41</v>
      </c>
      <c r="AD9" s="8">
        <v>181.69</v>
      </c>
      <c r="AE9" s="9">
        <v>181.69</v>
      </c>
      <c r="AF9" s="8">
        <v>74.8</v>
      </c>
      <c r="AG9" s="9">
        <v>74.8</v>
      </c>
      <c r="AH9" s="8">
        <v>586.03</v>
      </c>
      <c r="AI9" s="9">
        <v>586.03</v>
      </c>
      <c r="AJ9" s="8">
        <v>0</v>
      </c>
      <c r="AK9" s="9">
        <v>0</v>
      </c>
      <c r="AL9" s="8">
        <v>5166.37</v>
      </c>
      <c r="AM9" s="9">
        <v>5166.37</v>
      </c>
      <c r="AN9" s="8">
        <v>91.44</v>
      </c>
      <c r="AO9" s="9">
        <v>91.44</v>
      </c>
      <c r="AP9" s="8">
        <v>0</v>
      </c>
      <c r="AQ9" s="9">
        <v>0</v>
      </c>
      <c r="AR9" s="8">
        <v>0</v>
      </c>
      <c r="AS9" s="9">
        <v>0</v>
      </c>
      <c r="AT9" s="8">
        <v>0</v>
      </c>
      <c r="AU9" s="9">
        <v>0</v>
      </c>
      <c r="AV9" s="8">
        <f t="shared" si="0"/>
        <v>15633.74</v>
      </c>
      <c r="AW9" s="30">
        <f t="shared" si="1"/>
        <v>15633.74</v>
      </c>
    </row>
    <row r="10" spans="1:49" s="3" customFormat="1" x14ac:dyDescent="0.25">
      <c r="A10" s="27" t="s">
        <v>92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180</v>
      </c>
      <c r="I10" s="7">
        <v>180</v>
      </c>
      <c r="J10" s="7">
        <v>26.2</v>
      </c>
      <c r="K10" s="7">
        <v>26.2</v>
      </c>
      <c r="L10" s="7">
        <v>1251.3599999999999</v>
      </c>
      <c r="M10" s="7">
        <v>1251.3599999999999</v>
      </c>
      <c r="N10" s="7">
        <v>14.4</v>
      </c>
      <c r="O10" s="7">
        <v>14.4</v>
      </c>
      <c r="P10" s="7">
        <v>25006.400000000001</v>
      </c>
      <c r="Q10" s="7">
        <v>25006.400000000001</v>
      </c>
      <c r="R10" s="7">
        <v>68.95</v>
      </c>
      <c r="S10" s="7">
        <v>68.95</v>
      </c>
      <c r="T10" s="7">
        <v>169</v>
      </c>
      <c r="U10" s="7">
        <v>169</v>
      </c>
      <c r="V10" s="7">
        <v>9.6</v>
      </c>
      <c r="W10" s="7">
        <v>9.6</v>
      </c>
      <c r="X10" s="7">
        <v>0</v>
      </c>
      <c r="Y10" s="7">
        <v>0</v>
      </c>
      <c r="Z10" s="7">
        <v>177.99</v>
      </c>
      <c r="AA10" s="7">
        <v>177.99</v>
      </c>
      <c r="AB10" s="7">
        <v>18294.63</v>
      </c>
      <c r="AC10" s="7">
        <v>18294.63</v>
      </c>
      <c r="AD10" s="7">
        <v>3219.93</v>
      </c>
      <c r="AE10" s="7">
        <v>3219.93</v>
      </c>
      <c r="AF10" s="7">
        <v>419.5</v>
      </c>
      <c r="AG10" s="7">
        <v>419.5</v>
      </c>
      <c r="AH10" s="7">
        <v>2198.9</v>
      </c>
      <c r="AI10" s="7">
        <v>2198.9</v>
      </c>
      <c r="AJ10" s="7">
        <v>553.55999999999995</v>
      </c>
      <c r="AK10" s="7">
        <v>553.55999999999995</v>
      </c>
      <c r="AL10" s="7">
        <v>468.39</v>
      </c>
      <c r="AM10" s="7">
        <v>497.86</v>
      </c>
      <c r="AN10" s="7">
        <v>464.43</v>
      </c>
      <c r="AO10" s="7">
        <v>434.96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f t="shared" si="0"/>
        <v>52523.24</v>
      </c>
      <c r="AW10" s="28">
        <f t="shared" si="1"/>
        <v>52523.24</v>
      </c>
    </row>
    <row r="11" spans="1:49" x14ac:dyDescent="0.25">
      <c r="A11" s="29" t="s">
        <v>32</v>
      </c>
      <c r="B11" s="8">
        <v>0</v>
      </c>
      <c r="C11" s="9">
        <v>0</v>
      </c>
      <c r="D11" s="8">
        <v>0</v>
      </c>
      <c r="E11" s="9">
        <v>0</v>
      </c>
      <c r="F11" s="8">
        <v>0</v>
      </c>
      <c r="G11" s="9">
        <v>0</v>
      </c>
      <c r="H11" s="8">
        <v>0</v>
      </c>
      <c r="I11" s="9">
        <v>0</v>
      </c>
      <c r="J11" s="8">
        <v>0</v>
      </c>
      <c r="K11" s="9">
        <v>0</v>
      </c>
      <c r="L11" s="8">
        <v>0</v>
      </c>
      <c r="M11" s="9">
        <v>0</v>
      </c>
      <c r="N11" s="8">
        <v>14.4</v>
      </c>
      <c r="O11" s="9">
        <v>14.4</v>
      </c>
      <c r="P11" s="8">
        <v>6.4</v>
      </c>
      <c r="Q11" s="9">
        <v>6.4</v>
      </c>
      <c r="R11" s="8">
        <v>9.6</v>
      </c>
      <c r="S11" s="9">
        <v>9.6</v>
      </c>
      <c r="T11" s="8">
        <v>11.2</v>
      </c>
      <c r="U11" s="9">
        <v>11.2</v>
      </c>
      <c r="V11" s="8">
        <v>9.6</v>
      </c>
      <c r="W11" s="9">
        <v>9.6</v>
      </c>
      <c r="X11" s="8">
        <v>0</v>
      </c>
      <c r="Y11" s="9">
        <v>0</v>
      </c>
      <c r="Z11" s="8">
        <v>16</v>
      </c>
      <c r="AA11" s="9">
        <v>16</v>
      </c>
      <c r="AB11" s="8">
        <v>4.8</v>
      </c>
      <c r="AC11" s="9">
        <v>4.8</v>
      </c>
      <c r="AD11" s="8">
        <v>1719.93</v>
      </c>
      <c r="AE11" s="9">
        <v>1719.93</v>
      </c>
      <c r="AF11" s="8">
        <v>393.5</v>
      </c>
      <c r="AG11" s="9">
        <v>393.5</v>
      </c>
      <c r="AH11" s="8">
        <v>1201.0899999999999</v>
      </c>
      <c r="AI11" s="9">
        <v>1201.0899999999999</v>
      </c>
      <c r="AJ11" s="8">
        <v>553.55999999999995</v>
      </c>
      <c r="AK11" s="9">
        <v>553.55999999999995</v>
      </c>
      <c r="AL11" s="8">
        <v>468.39</v>
      </c>
      <c r="AM11" s="9">
        <v>497.86</v>
      </c>
      <c r="AN11" s="8">
        <v>464.43</v>
      </c>
      <c r="AO11" s="9">
        <v>434.96</v>
      </c>
      <c r="AP11" s="8">
        <v>0</v>
      </c>
      <c r="AQ11" s="9">
        <v>0</v>
      </c>
      <c r="AR11" s="8">
        <v>0</v>
      </c>
      <c r="AS11" s="9">
        <v>0</v>
      </c>
      <c r="AT11" s="8">
        <v>0</v>
      </c>
      <c r="AU11" s="9">
        <v>0</v>
      </c>
      <c r="AV11" s="8">
        <f t="shared" si="0"/>
        <v>4872.9000000000005</v>
      </c>
      <c r="AW11" s="30">
        <f t="shared" si="1"/>
        <v>4872.9000000000005</v>
      </c>
    </row>
    <row r="12" spans="1:49" x14ac:dyDescent="0.25">
      <c r="A12" s="29" t="s">
        <v>33</v>
      </c>
      <c r="B12" s="8">
        <v>0</v>
      </c>
      <c r="C12" s="9">
        <v>0</v>
      </c>
      <c r="D12" s="8">
        <v>0</v>
      </c>
      <c r="E12" s="9">
        <v>0</v>
      </c>
      <c r="F12" s="8">
        <v>0</v>
      </c>
      <c r="G12" s="9">
        <v>0</v>
      </c>
      <c r="H12" s="8">
        <v>180</v>
      </c>
      <c r="I12" s="9">
        <v>180</v>
      </c>
      <c r="J12" s="8">
        <v>26.2</v>
      </c>
      <c r="K12" s="9">
        <v>26.2</v>
      </c>
      <c r="L12" s="8">
        <v>0</v>
      </c>
      <c r="M12" s="9">
        <v>0</v>
      </c>
      <c r="N12" s="8">
        <v>0</v>
      </c>
      <c r="O12" s="9">
        <v>0</v>
      </c>
      <c r="P12" s="8">
        <v>25000</v>
      </c>
      <c r="Q12" s="9">
        <v>25000</v>
      </c>
      <c r="R12" s="8">
        <v>0</v>
      </c>
      <c r="S12" s="9">
        <v>0</v>
      </c>
      <c r="T12" s="8">
        <v>0</v>
      </c>
      <c r="U12" s="9">
        <v>0</v>
      </c>
      <c r="V12" s="8">
        <v>0</v>
      </c>
      <c r="W12" s="9">
        <v>0</v>
      </c>
      <c r="X12" s="8">
        <v>0</v>
      </c>
      <c r="Y12" s="9">
        <v>0</v>
      </c>
      <c r="Z12" s="8">
        <v>161.99</v>
      </c>
      <c r="AA12" s="9">
        <v>161.99</v>
      </c>
      <c r="AB12" s="8">
        <v>16816.759999999998</v>
      </c>
      <c r="AC12" s="9">
        <v>16816.759999999998</v>
      </c>
      <c r="AD12" s="8">
        <v>0</v>
      </c>
      <c r="AE12" s="9">
        <v>0</v>
      </c>
      <c r="AF12" s="8">
        <v>0</v>
      </c>
      <c r="AG12" s="9">
        <v>0</v>
      </c>
      <c r="AH12" s="8">
        <v>0</v>
      </c>
      <c r="AI12" s="9">
        <v>0</v>
      </c>
      <c r="AJ12" s="8">
        <v>0</v>
      </c>
      <c r="AK12" s="9">
        <v>0</v>
      </c>
      <c r="AL12" s="8">
        <v>0</v>
      </c>
      <c r="AM12" s="9">
        <v>0</v>
      </c>
      <c r="AN12" s="8">
        <v>0</v>
      </c>
      <c r="AO12" s="9">
        <v>0</v>
      </c>
      <c r="AP12" s="8">
        <v>0</v>
      </c>
      <c r="AQ12" s="9">
        <v>0</v>
      </c>
      <c r="AR12" s="8">
        <v>0</v>
      </c>
      <c r="AS12" s="9">
        <v>0</v>
      </c>
      <c r="AT12" s="8">
        <v>0</v>
      </c>
      <c r="AU12" s="9">
        <v>0</v>
      </c>
      <c r="AV12" s="8">
        <f t="shared" si="0"/>
        <v>42184.95</v>
      </c>
      <c r="AW12" s="30">
        <f t="shared" si="1"/>
        <v>42184.95</v>
      </c>
    </row>
    <row r="13" spans="1:49" x14ac:dyDescent="0.25">
      <c r="A13" s="31" t="s">
        <v>34</v>
      </c>
      <c r="B13" s="8"/>
      <c r="C13" s="9"/>
      <c r="D13" s="8"/>
      <c r="E13" s="9"/>
      <c r="F13" s="8"/>
      <c r="G13" s="9"/>
      <c r="H13" s="8"/>
      <c r="I13" s="9"/>
      <c r="J13" s="8"/>
      <c r="K13" s="9"/>
      <c r="L13" s="8"/>
      <c r="M13" s="9"/>
      <c r="N13" s="8"/>
      <c r="O13" s="9"/>
      <c r="P13" s="8"/>
      <c r="Q13" s="9"/>
      <c r="R13" s="8"/>
      <c r="S13" s="9"/>
      <c r="T13" s="8"/>
      <c r="U13" s="9"/>
      <c r="V13" s="8"/>
      <c r="W13" s="9"/>
      <c r="X13" s="8">
        <v>0</v>
      </c>
      <c r="Y13" s="9">
        <v>0</v>
      </c>
      <c r="Z13" s="8">
        <v>0</v>
      </c>
      <c r="AA13" s="9">
        <v>0</v>
      </c>
      <c r="AB13" s="8">
        <v>1350</v>
      </c>
      <c r="AC13" s="9">
        <v>1350</v>
      </c>
      <c r="AD13" s="8">
        <v>0</v>
      </c>
      <c r="AE13" s="9">
        <v>0</v>
      </c>
      <c r="AF13" s="8">
        <v>0</v>
      </c>
      <c r="AG13" s="9">
        <v>0</v>
      </c>
      <c r="AH13" s="8">
        <v>997.81</v>
      </c>
      <c r="AI13" s="9">
        <v>997.81</v>
      </c>
      <c r="AJ13" s="8">
        <v>0</v>
      </c>
      <c r="AK13" s="9">
        <v>0</v>
      </c>
      <c r="AL13" s="8">
        <v>0</v>
      </c>
      <c r="AM13" s="9">
        <v>0</v>
      </c>
      <c r="AN13" s="8">
        <v>0</v>
      </c>
      <c r="AO13" s="9">
        <v>0</v>
      </c>
      <c r="AP13" s="8">
        <v>0</v>
      </c>
      <c r="AQ13" s="9">
        <v>0</v>
      </c>
      <c r="AR13" s="8">
        <v>0</v>
      </c>
      <c r="AS13" s="9">
        <v>0</v>
      </c>
      <c r="AT13" s="8">
        <v>0</v>
      </c>
      <c r="AU13" s="9">
        <v>0</v>
      </c>
      <c r="AV13" s="8">
        <f t="shared" si="0"/>
        <v>2347.81</v>
      </c>
      <c r="AW13" s="30">
        <f t="shared" si="1"/>
        <v>2347.81</v>
      </c>
    </row>
    <row r="14" spans="1:49" x14ac:dyDescent="0.25">
      <c r="A14" s="29" t="s">
        <v>35</v>
      </c>
      <c r="B14" s="8">
        <v>0</v>
      </c>
      <c r="C14" s="9">
        <v>0</v>
      </c>
      <c r="D14" s="8">
        <v>0</v>
      </c>
      <c r="E14" s="9">
        <v>0</v>
      </c>
      <c r="F14" s="8">
        <v>0</v>
      </c>
      <c r="G14" s="9">
        <v>0</v>
      </c>
      <c r="H14" s="8">
        <v>0</v>
      </c>
      <c r="I14" s="9">
        <v>0</v>
      </c>
      <c r="J14" s="8">
        <v>0</v>
      </c>
      <c r="K14" s="9">
        <v>0</v>
      </c>
      <c r="L14" s="8">
        <v>1251.3599999999999</v>
      </c>
      <c r="M14" s="9">
        <v>1251.3599999999999</v>
      </c>
      <c r="N14" s="8">
        <v>0</v>
      </c>
      <c r="O14" s="9">
        <v>0</v>
      </c>
      <c r="P14" s="8">
        <v>0</v>
      </c>
      <c r="Q14" s="9">
        <v>0</v>
      </c>
      <c r="R14" s="8">
        <v>59.35</v>
      </c>
      <c r="S14" s="9">
        <v>59.35</v>
      </c>
      <c r="T14" s="8">
        <v>157.80000000000001</v>
      </c>
      <c r="U14" s="9">
        <v>157.80000000000001</v>
      </c>
      <c r="V14" s="8">
        <v>0</v>
      </c>
      <c r="W14" s="9">
        <v>0</v>
      </c>
      <c r="X14" s="8">
        <v>0</v>
      </c>
      <c r="Y14" s="9">
        <v>0</v>
      </c>
      <c r="Z14" s="8">
        <v>0</v>
      </c>
      <c r="AA14" s="9">
        <v>0</v>
      </c>
      <c r="AB14" s="8">
        <v>123.07</v>
      </c>
      <c r="AC14" s="9">
        <v>123.07</v>
      </c>
      <c r="AD14" s="8">
        <v>1500</v>
      </c>
      <c r="AE14" s="9">
        <v>1500</v>
      </c>
      <c r="AF14" s="8">
        <v>26</v>
      </c>
      <c r="AG14" s="9">
        <v>26</v>
      </c>
      <c r="AH14" s="8">
        <v>0</v>
      </c>
      <c r="AI14" s="9">
        <v>0</v>
      </c>
      <c r="AJ14" s="8">
        <v>0</v>
      </c>
      <c r="AK14" s="9">
        <v>0</v>
      </c>
      <c r="AL14" s="8">
        <v>0</v>
      </c>
      <c r="AM14" s="9">
        <v>0</v>
      </c>
      <c r="AN14" s="8">
        <v>0</v>
      </c>
      <c r="AO14" s="9">
        <v>0</v>
      </c>
      <c r="AP14" s="8">
        <v>0</v>
      </c>
      <c r="AQ14" s="9">
        <v>0</v>
      </c>
      <c r="AR14" s="8">
        <v>0</v>
      </c>
      <c r="AS14" s="9">
        <v>0</v>
      </c>
      <c r="AT14" s="8">
        <v>0</v>
      </c>
      <c r="AU14" s="9">
        <v>0</v>
      </c>
      <c r="AV14" s="8">
        <f t="shared" si="0"/>
        <v>3117.58</v>
      </c>
      <c r="AW14" s="30">
        <f t="shared" si="1"/>
        <v>3117.58</v>
      </c>
    </row>
    <row r="15" spans="1:49" s="3" customFormat="1" x14ac:dyDescent="0.25">
      <c r="A15" s="27" t="s">
        <v>93</v>
      </c>
      <c r="B15" s="7">
        <v>10700</v>
      </c>
      <c r="C15" s="7">
        <v>10700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600</v>
      </c>
      <c r="AG15" s="7">
        <v>600</v>
      </c>
      <c r="AH15" s="7">
        <v>0</v>
      </c>
      <c r="AI15" s="7">
        <v>0</v>
      </c>
      <c r="AJ15" s="7"/>
      <c r="AK15" s="7"/>
      <c r="AL15" s="7">
        <v>7196.25</v>
      </c>
      <c r="AM15" s="7">
        <v>7196.25</v>
      </c>
      <c r="AN15" s="7">
        <v>472.15</v>
      </c>
      <c r="AO15" s="7">
        <v>472.15</v>
      </c>
      <c r="AP15" s="7"/>
      <c r="AQ15" s="7"/>
      <c r="AR15" s="7"/>
      <c r="AS15" s="7"/>
      <c r="AT15" s="7"/>
      <c r="AU15" s="7"/>
      <c r="AV15" s="7">
        <f t="shared" si="0"/>
        <v>18968.400000000001</v>
      </c>
      <c r="AW15" s="28">
        <f t="shared" si="1"/>
        <v>18968.400000000001</v>
      </c>
    </row>
    <row r="16" spans="1:49" x14ac:dyDescent="0.25">
      <c r="A16" s="29" t="s">
        <v>36</v>
      </c>
      <c r="B16" s="8">
        <v>10000</v>
      </c>
      <c r="C16" s="9">
        <v>10000</v>
      </c>
      <c r="D16" s="8">
        <v>0</v>
      </c>
      <c r="E16" s="9">
        <v>0</v>
      </c>
      <c r="F16" s="8">
        <v>0</v>
      </c>
      <c r="G16" s="9">
        <v>0</v>
      </c>
      <c r="H16" s="8">
        <v>0</v>
      </c>
      <c r="I16" s="9">
        <v>0</v>
      </c>
      <c r="J16" s="8">
        <v>0</v>
      </c>
      <c r="K16" s="9">
        <v>0</v>
      </c>
      <c r="L16" s="8">
        <v>0</v>
      </c>
      <c r="M16" s="9">
        <v>0</v>
      </c>
      <c r="N16" s="8">
        <v>0</v>
      </c>
      <c r="O16" s="9">
        <v>0</v>
      </c>
      <c r="P16" s="8">
        <v>0</v>
      </c>
      <c r="Q16" s="9">
        <v>0</v>
      </c>
      <c r="R16" s="8">
        <v>0</v>
      </c>
      <c r="S16" s="9">
        <v>0</v>
      </c>
      <c r="T16" s="8">
        <v>0</v>
      </c>
      <c r="U16" s="9">
        <v>0</v>
      </c>
      <c r="V16" s="8">
        <v>0</v>
      </c>
      <c r="W16" s="9">
        <v>0</v>
      </c>
      <c r="X16" s="8">
        <v>0</v>
      </c>
      <c r="Y16" s="9">
        <v>0</v>
      </c>
      <c r="Z16" s="8">
        <v>0</v>
      </c>
      <c r="AA16" s="9">
        <v>0</v>
      </c>
      <c r="AB16" s="8">
        <v>0</v>
      </c>
      <c r="AC16" s="9">
        <v>0</v>
      </c>
      <c r="AD16" s="8">
        <v>0</v>
      </c>
      <c r="AE16" s="9">
        <v>0</v>
      </c>
      <c r="AF16" s="8">
        <v>600</v>
      </c>
      <c r="AG16" s="9">
        <v>600</v>
      </c>
      <c r="AH16" s="8">
        <v>0</v>
      </c>
      <c r="AI16" s="9">
        <v>0</v>
      </c>
      <c r="AJ16" s="8"/>
      <c r="AK16" s="9"/>
      <c r="AL16" s="8"/>
      <c r="AM16" s="9"/>
      <c r="AN16" s="8"/>
      <c r="AO16" s="9"/>
      <c r="AP16" s="8"/>
      <c r="AQ16" s="9"/>
      <c r="AR16" s="8"/>
      <c r="AS16" s="9"/>
      <c r="AT16" s="8"/>
      <c r="AU16" s="9"/>
      <c r="AV16" s="8">
        <f t="shared" si="0"/>
        <v>10600</v>
      </c>
      <c r="AW16" s="30">
        <f t="shared" si="1"/>
        <v>10600</v>
      </c>
    </row>
    <row r="17" spans="1:49" x14ac:dyDescent="0.25">
      <c r="A17" s="29" t="s">
        <v>37</v>
      </c>
      <c r="B17" s="8">
        <v>700</v>
      </c>
      <c r="C17" s="9">
        <v>700</v>
      </c>
      <c r="D17" s="8">
        <v>0</v>
      </c>
      <c r="E17" s="9">
        <v>0</v>
      </c>
      <c r="F17" s="8">
        <v>0</v>
      </c>
      <c r="G17" s="9">
        <v>0</v>
      </c>
      <c r="H17" s="8">
        <v>0</v>
      </c>
      <c r="I17" s="9">
        <v>0</v>
      </c>
      <c r="J17" s="8">
        <v>0</v>
      </c>
      <c r="K17" s="9">
        <v>0</v>
      </c>
      <c r="L17" s="8">
        <v>0</v>
      </c>
      <c r="M17" s="9">
        <v>0</v>
      </c>
      <c r="N17" s="8">
        <v>0</v>
      </c>
      <c r="O17" s="9">
        <v>0</v>
      </c>
      <c r="P17" s="8">
        <v>0</v>
      </c>
      <c r="Q17" s="9">
        <v>0</v>
      </c>
      <c r="R17" s="8">
        <v>0</v>
      </c>
      <c r="S17" s="9">
        <v>0</v>
      </c>
      <c r="T17" s="8">
        <v>0</v>
      </c>
      <c r="U17" s="9">
        <v>0</v>
      </c>
      <c r="V17" s="8">
        <v>0</v>
      </c>
      <c r="W17" s="9">
        <v>0</v>
      </c>
      <c r="X17" s="8"/>
      <c r="Y17" s="9"/>
      <c r="Z17" s="8"/>
      <c r="AA17" s="9"/>
      <c r="AB17" s="8"/>
      <c r="AC17" s="9"/>
      <c r="AD17" s="8"/>
      <c r="AE17" s="9"/>
      <c r="AF17" s="8"/>
      <c r="AG17" s="9"/>
      <c r="AH17" s="8">
        <v>11153.81</v>
      </c>
      <c r="AI17" s="9">
        <v>11153.81</v>
      </c>
      <c r="AJ17" s="8"/>
      <c r="AK17" s="9"/>
      <c r="AL17" s="8">
        <v>7196.25</v>
      </c>
      <c r="AM17" s="9">
        <v>7196.25</v>
      </c>
      <c r="AN17" s="8">
        <v>472.15</v>
      </c>
      <c r="AO17" s="9">
        <v>472.15</v>
      </c>
      <c r="AP17" s="8"/>
      <c r="AQ17" s="9"/>
      <c r="AR17" s="8"/>
      <c r="AS17" s="9"/>
      <c r="AT17" s="8"/>
      <c r="AU17" s="9"/>
      <c r="AV17" s="8">
        <f t="shared" si="0"/>
        <v>19522.21</v>
      </c>
      <c r="AW17" s="30">
        <f t="shared" si="1"/>
        <v>19522.21</v>
      </c>
    </row>
    <row r="18" spans="1:49" ht="15.75" x14ac:dyDescent="0.25">
      <c r="A18" s="32" t="s">
        <v>38</v>
      </c>
      <c r="B18" s="10">
        <v>-1410.79</v>
      </c>
      <c r="C18" s="10">
        <v>-1410.79</v>
      </c>
      <c r="D18" s="10">
        <v>-26965.99</v>
      </c>
      <c r="E18" s="10">
        <v>-26968.82</v>
      </c>
      <c r="F18" s="10">
        <v>-41140.379999999997</v>
      </c>
      <c r="G18" s="10">
        <v>-41140.379999999997</v>
      </c>
      <c r="H18" s="10">
        <v>-21940.400000000001</v>
      </c>
      <c r="I18" s="10">
        <v>-21958.19</v>
      </c>
      <c r="J18" s="10">
        <v>-41133.26</v>
      </c>
      <c r="K18" s="10">
        <v>-41115.47</v>
      </c>
      <c r="L18" s="10">
        <v>-32574.65</v>
      </c>
      <c r="M18" s="10">
        <v>-32574.65</v>
      </c>
      <c r="N18" s="10">
        <v>-17323.16</v>
      </c>
      <c r="O18" s="10">
        <v>-17325.78</v>
      </c>
      <c r="P18" s="10">
        <v>-178264.56</v>
      </c>
      <c r="Q18" s="10">
        <v>-178264.56</v>
      </c>
      <c r="R18" s="10">
        <v>-38777.42</v>
      </c>
      <c r="S18" s="10">
        <v>-38777.42</v>
      </c>
      <c r="T18" s="10">
        <v>-24226.77</v>
      </c>
      <c r="U18" s="10">
        <v>-24226.77</v>
      </c>
      <c r="V18" s="10">
        <v>-23508.05</v>
      </c>
      <c r="W18" s="10">
        <v>-23508.05</v>
      </c>
      <c r="X18" s="10">
        <v>-33049.69</v>
      </c>
      <c r="Y18" s="10">
        <v>-33049.69</v>
      </c>
      <c r="Z18" s="10">
        <v>-57180.77</v>
      </c>
      <c r="AA18" s="10">
        <v>-57180.77</v>
      </c>
      <c r="AB18" s="10">
        <v>-120645.06</v>
      </c>
      <c r="AC18" s="10">
        <v>-120645.06</v>
      </c>
      <c r="AD18" s="10">
        <v>-138124.96</v>
      </c>
      <c r="AE18" s="10">
        <v>-138124.96</v>
      </c>
      <c r="AF18" s="10">
        <v>-112453.13</v>
      </c>
      <c r="AG18" s="10">
        <v>-112453.13</v>
      </c>
      <c r="AH18" s="10">
        <v>-157937.47</v>
      </c>
      <c r="AI18" s="10">
        <v>-157937.47</v>
      </c>
      <c r="AJ18" s="10">
        <v>-100136.15</v>
      </c>
      <c r="AK18" s="10">
        <v>-100136.15</v>
      </c>
      <c r="AL18" s="10">
        <v>-88007.82</v>
      </c>
      <c r="AM18" s="10">
        <v>-88007.82</v>
      </c>
      <c r="AN18" s="10">
        <v>-113064.01</v>
      </c>
      <c r="AO18" s="10">
        <v>-113064.01</v>
      </c>
      <c r="AP18" s="10">
        <v>-27159.79</v>
      </c>
      <c r="AQ18" s="10">
        <v>0</v>
      </c>
      <c r="AR18" s="10">
        <v>-26542.06</v>
      </c>
      <c r="AS18" s="10">
        <v>0</v>
      </c>
      <c r="AT18" s="10">
        <v>-26384.44</v>
      </c>
      <c r="AU18" s="10">
        <v>0</v>
      </c>
      <c r="AV18" s="10">
        <f t="shared" si="0"/>
        <v>-1447950.78</v>
      </c>
      <c r="AW18" s="33">
        <f t="shared" si="1"/>
        <v>-1367869.94</v>
      </c>
    </row>
    <row r="19" spans="1:49" s="3" customFormat="1" x14ac:dyDescent="0.25">
      <c r="A19" s="27" t="s">
        <v>94</v>
      </c>
      <c r="B19" s="7">
        <v>0</v>
      </c>
      <c r="C19" s="7">
        <v>0</v>
      </c>
      <c r="D19" s="7">
        <v>0</v>
      </c>
      <c r="E19" s="7">
        <v>0</v>
      </c>
      <c r="F19" s="7">
        <v>-2807.32</v>
      </c>
      <c r="G19" s="7">
        <v>-2807.32</v>
      </c>
      <c r="H19" s="7">
        <v>-5392.28</v>
      </c>
      <c r="I19" s="7">
        <v>-5410.07</v>
      </c>
      <c r="J19" s="7">
        <v>-4524.75</v>
      </c>
      <c r="K19" s="7">
        <v>-4524.75</v>
      </c>
      <c r="L19" s="7">
        <v>-1933.59</v>
      </c>
      <c r="M19" s="7">
        <v>-1933.59</v>
      </c>
      <c r="N19" s="7">
        <v>-1713.11</v>
      </c>
      <c r="O19" s="7">
        <v>-1713.11</v>
      </c>
      <c r="P19" s="7">
        <v>-10716.61</v>
      </c>
      <c r="Q19" s="7">
        <v>-10716.61</v>
      </c>
      <c r="R19" s="7">
        <v>-20552.650000000001</v>
      </c>
      <c r="S19" s="7">
        <v>-20552.650000000001</v>
      </c>
      <c r="T19" s="7">
        <v>-5672.47</v>
      </c>
      <c r="U19" s="7">
        <v>-5672.47</v>
      </c>
      <c r="V19" s="7">
        <v>-2854.27</v>
      </c>
      <c r="W19" s="7">
        <v>-2854.27</v>
      </c>
      <c r="X19" s="7">
        <v>-1772.76</v>
      </c>
      <c r="Y19" s="7">
        <v>-1772.76</v>
      </c>
      <c r="Z19" s="7">
        <v>-5847.15</v>
      </c>
      <c r="AA19" s="7">
        <v>-5847.15</v>
      </c>
      <c r="AB19" s="7">
        <v>-2360.7800000000002</v>
      </c>
      <c r="AC19" s="7">
        <v>-2360.7800000000002</v>
      </c>
      <c r="AD19" s="7">
        <v>-7274.49</v>
      </c>
      <c r="AE19" s="7">
        <v>-7274.49</v>
      </c>
      <c r="AF19" s="7">
        <v>-18302.060000000001</v>
      </c>
      <c r="AG19" s="7">
        <v>-18302.060000000001</v>
      </c>
      <c r="AH19" s="7">
        <v>-22798.69</v>
      </c>
      <c r="AI19" s="7">
        <v>-22798.69</v>
      </c>
      <c r="AJ19" s="7">
        <v>-24120.53</v>
      </c>
      <c r="AK19" s="7">
        <v>-24120.53</v>
      </c>
      <c r="AL19" s="7">
        <v>-20326.27</v>
      </c>
      <c r="AM19" s="7">
        <v>-20326.27</v>
      </c>
      <c r="AN19" s="7">
        <v>-9045.48</v>
      </c>
      <c r="AO19" s="7">
        <v>-9045.48</v>
      </c>
      <c r="AP19" s="7">
        <v>-5000</v>
      </c>
      <c r="AQ19" s="7">
        <v>0</v>
      </c>
      <c r="AR19" s="7">
        <v>-5000</v>
      </c>
      <c r="AS19" s="7">
        <v>0</v>
      </c>
      <c r="AT19" s="7">
        <v>-5000</v>
      </c>
      <c r="AU19" s="7">
        <v>0</v>
      </c>
      <c r="AV19" s="7">
        <f t="shared" si="0"/>
        <v>-183015.26</v>
      </c>
      <c r="AW19" s="28">
        <f t="shared" si="1"/>
        <v>-168033.05000000002</v>
      </c>
    </row>
    <row r="20" spans="1:49" x14ac:dyDescent="0.25">
      <c r="A20" s="29" t="s">
        <v>39</v>
      </c>
      <c r="B20" s="8">
        <v>0</v>
      </c>
      <c r="C20" s="9">
        <v>0</v>
      </c>
      <c r="D20" s="8">
        <v>0</v>
      </c>
      <c r="E20" s="9">
        <v>0</v>
      </c>
      <c r="F20" s="8">
        <v>-2807.32</v>
      </c>
      <c r="G20" s="9">
        <v>-2807.32</v>
      </c>
      <c r="H20" s="8">
        <v>-5392.28</v>
      </c>
      <c r="I20" s="9">
        <v>-5410.07</v>
      </c>
      <c r="J20" s="8">
        <v>-4524.75</v>
      </c>
      <c r="K20" s="9">
        <v>-4524.75</v>
      </c>
      <c r="L20" s="8">
        <v>-1933.59</v>
      </c>
      <c r="M20" s="9">
        <v>-1933.59</v>
      </c>
      <c r="N20" s="8">
        <v>-1713.11</v>
      </c>
      <c r="O20" s="9">
        <v>-1713.11</v>
      </c>
      <c r="P20" s="8">
        <v>-10716.61</v>
      </c>
      <c r="Q20" s="9">
        <v>-10716.61</v>
      </c>
      <c r="R20" s="8">
        <v>-20552.650000000001</v>
      </c>
      <c r="S20" s="9">
        <v>-20552.650000000001</v>
      </c>
      <c r="T20" s="8">
        <v>-5672.47</v>
      </c>
      <c r="U20" s="9">
        <v>-5672.47</v>
      </c>
      <c r="V20" s="8">
        <v>-2854.27</v>
      </c>
      <c r="W20" s="9">
        <v>-2854.27</v>
      </c>
      <c r="X20" s="8">
        <v>-1772.76</v>
      </c>
      <c r="Y20" s="9">
        <v>-1772.76</v>
      </c>
      <c r="Z20" s="8">
        <v>-5847.15</v>
      </c>
      <c r="AA20" s="9">
        <v>-5847.15</v>
      </c>
      <c r="AB20" s="8">
        <v>-2360.7800000000002</v>
      </c>
      <c r="AC20" s="9">
        <v>-2360.7800000000002</v>
      </c>
      <c r="AD20" s="8">
        <v>-7274.49</v>
      </c>
      <c r="AE20" s="9">
        <v>-7274.49</v>
      </c>
      <c r="AF20" s="8">
        <v>-18302.060000000001</v>
      </c>
      <c r="AG20" s="9">
        <v>-18302.060000000001</v>
      </c>
      <c r="AH20" s="8">
        <v>-22798.69</v>
      </c>
      <c r="AI20" s="9">
        <v>-22798.69</v>
      </c>
      <c r="AJ20" s="8">
        <v>-24120.53</v>
      </c>
      <c r="AK20" s="9">
        <v>-24120.53</v>
      </c>
      <c r="AL20" s="8">
        <v>-20326.27</v>
      </c>
      <c r="AM20" s="9">
        <v>-20326.27</v>
      </c>
      <c r="AN20" s="8">
        <v>-9045.48</v>
      </c>
      <c r="AO20" s="9">
        <v>-9045.48</v>
      </c>
      <c r="AP20" s="8">
        <v>-5000</v>
      </c>
      <c r="AQ20" s="9">
        <v>0</v>
      </c>
      <c r="AR20" s="8">
        <v>-5000</v>
      </c>
      <c r="AS20" s="9">
        <v>0</v>
      </c>
      <c r="AT20" s="8">
        <v>-5000</v>
      </c>
      <c r="AU20" s="9">
        <v>0</v>
      </c>
      <c r="AV20" s="8">
        <f t="shared" si="0"/>
        <v>-183015.26</v>
      </c>
      <c r="AW20" s="30">
        <f t="shared" si="1"/>
        <v>-168033.05000000002</v>
      </c>
    </row>
    <row r="21" spans="1:49" s="3" customFormat="1" x14ac:dyDescent="0.25">
      <c r="A21" s="27" t="s">
        <v>95</v>
      </c>
      <c r="B21" s="7">
        <v>0</v>
      </c>
      <c r="C21" s="7">
        <v>0</v>
      </c>
      <c r="D21" s="7">
        <v>0</v>
      </c>
      <c r="E21" s="7">
        <v>0</v>
      </c>
      <c r="F21" s="7">
        <v>-1950</v>
      </c>
      <c r="G21" s="7">
        <v>-1950</v>
      </c>
      <c r="H21" s="7">
        <v>-1672.17</v>
      </c>
      <c r="I21" s="7">
        <v>-1672.17</v>
      </c>
      <c r="J21" s="7">
        <v>-10866.18</v>
      </c>
      <c r="K21" s="7">
        <v>-10866.18</v>
      </c>
      <c r="L21" s="7">
        <v>-112.12</v>
      </c>
      <c r="M21" s="7">
        <v>-112.12</v>
      </c>
      <c r="N21" s="7">
        <v>-712.12</v>
      </c>
      <c r="O21" s="7">
        <v>-712.12</v>
      </c>
      <c r="P21" s="7">
        <v>-5323.72</v>
      </c>
      <c r="Q21" s="7">
        <v>-5323.72</v>
      </c>
      <c r="R21" s="7">
        <v>-1012.12</v>
      </c>
      <c r="S21" s="7">
        <v>-1012.12</v>
      </c>
      <c r="T21" s="7">
        <v>-2297.12</v>
      </c>
      <c r="U21" s="7">
        <v>-2297.12</v>
      </c>
      <c r="V21" s="7">
        <v>-2297.12</v>
      </c>
      <c r="W21" s="7">
        <v>-2297.12</v>
      </c>
      <c r="X21" s="7">
        <v>-7786.42</v>
      </c>
      <c r="Y21" s="7">
        <v>-7786.42</v>
      </c>
      <c r="Z21" s="7">
        <v>-2421.27</v>
      </c>
      <c r="AA21" s="7">
        <v>-2421.27</v>
      </c>
      <c r="AB21" s="7">
        <v>-4554.5</v>
      </c>
      <c r="AC21" s="7">
        <v>-4554.5</v>
      </c>
      <c r="AD21" s="7">
        <v>-5744.15</v>
      </c>
      <c r="AE21" s="7">
        <v>-5744.15</v>
      </c>
      <c r="AF21" s="7">
        <v>-319.7</v>
      </c>
      <c r="AG21" s="7">
        <v>-319.7</v>
      </c>
      <c r="AH21" s="7">
        <v>-3364.15</v>
      </c>
      <c r="AI21" s="7">
        <v>-3364.15</v>
      </c>
      <c r="AJ21" s="7">
        <v>-3714.15</v>
      </c>
      <c r="AK21" s="7">
        <v>-3714.15</v>
      </c>
      <c r="AL21" s="7">
        <v>-124.15</v>
      </c>
      <c r="AM21" s="7">
        <v>-124.15</v>
      </c>
      <c r="AN21" s="7">
        <v>-2224.15</v>
      </c>
      <c r="AO21" s="7">
        <v>-2224.15</v>
      </c>
      <c r="AP21" s="7">
        <v>-124.15</v>
      </c>
      <c r="AQ21" s="7">
        <v>0</v>
      </c>
      <c r="AR21" s="7">
        <v>-124.15</v>
      </c>
      <c r="AS21" s="7">
        <v>0</v>
      </c>
      <c r="AT21" s="7">
        <v>0</v>
      </c>
      <c r="AU21" s="7">
        <v>0</v>
      </c>
      <c r="AV21" s="7">
        <f t="shared" si="0"/>
        <v>-56743.61</v>
      </c>
      <c r="AW21" s="28">
        <f t="shared" si="1"/>
        <v>-56495.31</v>
      </c>
    </row>
    <row r="22" spans="1:49" x14ac:dyDescent="0.25">
      <c r="A22" s="29" t="s">
        <v>40</v>
      </c>
      <c r="B22" s="8">
        <v>0</v>
      </c>
      <c r="C22" s="9">
        <v>0</v>
      </c>
      <c r="D22" s="8">
        <v>0</v>
      </c>
      <c r="E22" s="9">
        <v>0</v>
      </c>
      <c r="F22" s="8">
        <v>-1950</v>
      </c>
      <c r="G22" s="9">
        <v>-1950</v>
      </c>
      <c r="H22" s="8">
        <v>-1672.17</v>
      </c>
      <c r="I22" s="9">
        <v>-1672.17</v>
      </c>
      <c r="J22" s="8">
        <v>-2966.19</v>
      </c>
      <c r="K22" s="9">
        <v>-2966.19</v>
      </c>
      <c r="L22" s="8">
        <v>-112.12</v>
      </c>
      <c r="M22" s="9">
        <v>-112.12</v>
      </c>
      <c r="N22" s="8">
        <v>-712.12</v>
      </c>
      <c r="O22" s="9">
        <v>-712.12</v>
      </c>
      <c r="P22" s="8">
        <v>-2612.12</v>
      </c>
      <c r="Q22" s="9">
        <v>-2612.12</v>
      </c>
      <c r="R22" s="8">
        <v>-1012.12</v>
      </c>
      <c r="S22" s="9">
        <v>-1012.12</v>
      </c>
      <c r="T22" s="8">
        <v>-112.12</v>
      </c>
      <c r="U22" s="9">
        <v>-112.12</v>
      </c>
      <c r="V22" s="8">
        <v>-112.12</v>
      </c>
      <c r="W22" s="9">
        <v>-112.12</v>
      </c>
      <c r="X22" s="8">
        <v>-5112.12</v>
      </c>
      <c r="Y22" s="9">
        <v>-5112.12</v>
      </c>
      <c r="Z22" s="8">
        <v>-236.27</v>
      </c>
      <c r="AA22" s="9">
        <v>-236.27</v>
      </c>
      <c r="AB22" s="8">
        <v>-2224.15</v>
      </c>
      <c r="AC22" s="9">
        <v>-2224.15</v>
      </c>
      <c r="AD22" s="8">
        <v>-3559.15</v>
      </c>
      <c r="AE22" s="9">
        <v>-3559.15</v>
      </c>
      <c r="AF22" s="8">
        <v>-124.15</v>
      </c>
      <c r="AG22" s="9">
        <v>-124.15</v>
      </c>
      <c r="AH22" s="8">
        <v>-3364.15</v>
      </c>
      <c r="AI22" s="9">
        <v>-3364.15</v>
      </c>
      <c r="AJ22" s="8">
        <v>-3714.15</v>
      </c>
      <c r="AK22" s="9">
        <v>-3714.15</v>
      </c>
      <c r="AL22" s="8">
        <v>-124.15</v>
      </c>
      <c r="AM22" s="9">
        <v>-124.15</v>
      </c>
      <c r="AN22" s="8">
        <v>-2224.15</v>
      </c>
      <c r="AO22" s="9">
        <v>-2224.15</v>
      </c>
      <c r="AP22" s="8">
        <v>-124.15</v>
      </c>
      <c r="AQ22" s="9">
        <v>0</v>
      </c>
      <c r="AR22" s="8">
        <v>-124.15</v>
      </c>
      <c r="AS22" s="9">
        <v>0</v>
      </c>
      <c r="AT22" s="8">
        <v>0</v>
      </c>
      <c r="AU22" s="9">
        <v>0</v>
      </c>
      <c r="AV22" s="8">
        <f t="shared" si="0"/>
        <v>-32191.820000000018</v>
      </c>
      <c r="AW22" s="30">
        <f t="shared" si="1"/>
        <v>-31943.520000000015</v>
      </c>
    </row>
    <row r="23" spans="1:49" x14ac:dyDescent="0.25">
      <c r="A23" s="29" t="s">
        <v>18</v>
      </c>
      <c r="B23" s="8">
        <v>0</v>
      </c>
      <c r="C23" s="9">
        <v>0</v>
      </c>
      <c r="D23" s="8">
        <v>0</v>
      </c>
      <c r="E23" s="9">
        <v>0</v>
      </c>
      <c r="F23" s="8">
        <v>0</v>
      </c>
      <c r="G23" s="9">
        <v>0</v>
      </c>
      <c r="H23" s="8">
        <v>0</v>
      </c>
      <c r="I23" s="9">
        <v>0</v>
      </c>
      <c r="J23" s="8">
        <v>-7899.99</v>
      </c>
      <c r="K23" s="9">
        <v>-7899.99</v>
      </c>
      <c r="L23" s="8">
        <v>0</v>
      </c>
      <c r="M23" s="9">
        <v>0</v>
      </c>
      <c r="N23" s="8">
        <v>0</v>
      </c>
      <c r="O23" s="9">
        <v>0</v>
      </c>
      <c r="P23" s="8">
        <v>-2711.6</v>
      </c>
      <c r="Q23" s="9">
        <v>-2711.6</v>
      </c>
      <c r="R23" s="8">
        <v>0</v>
      </c>
      <c r="S23" s="9">
        <v>0</v>
      </c>
      <c r="T23" s="8">
        <v>-2185</v>
      </c>
      <c r="U23" s="9">
        <v>-2185</v>
      </c>
      <c r="V23" s="8">
        <v>-2185</v>
      </c>
      <c r="W23" s="9">
        <v>-2185</v>
      </c>
      <c r="X23" s="8">
        <v>-2674.3</v>
      </c>
      <c r="Y23" s="9">
        <v>-2674.3</v>
      </c>
      <c r="Z23" s="8">
        <v>-2185</v>
      </c>
      <c r="AA23" s="9">
        <v>-2185</v>
      </c>
      <c r="AB23" s="8">
        <v>-2330.35</v>
      </c>
      <c r="AC23" s="9">
        <v>-2330.35</v>
      </c>
      <c r="AD23" s="8">
        <v>-2185</v>
      </c>
      <c r="AE23" s="9">
        <v>-2185</v>
      </c>
      <c r="AF23" s="8">
        <v>-195.55</v>
      </c>
      <c r="AG23" s="9">
        <v>-195.55</v>
      </c>
      <c r="AH23" s="8">
        <v>0</v>
      </c>
      <c r="AI23" s="9">
        <v>0</v>
      </c>
      <c r="AJ23" s="8">
        <v>0</v>
      </c>
      <c r="AK23" s="9">
        <v>0</v>
      </c>
      <c r="AL23" s="8">
        <v>0</v>
      </c>
      <c r="AM23" s="9">
        <v>0</v>
      </c>
      <c r="AN23" s="8">
        <v>0</v>
      </c>
      <c r="AO23" s="9">
        <v>0</v>
      </c>
      <c r="AP23" s="8">
        <v>0</v>
      </c>
      <c r="AQ23" s="9">
        <v>0</v>
      </c>
      <c r="AR23" s="8">
        <v>0</v>
      </c>
      <c r="AS23" s="9">
        <v>0</v>
      </c>
      <c r="AT23" s="8">
        <v>0</v>
      </c>
      <c r="AU23" s="9">
        <v>0</v>
      </c>
      <c r="AV23" s="8">
        <f t="shared" si="0"/>
        <v>-24551.789999999997</v>
      </c>
      <c r="AW23" s="30">
        <f t="shared" si="1"/>
        <v>-24551.789999999997</v>
      </c>
    </row>
    <row r="24" spans="1:49" s="3" customFormat="1" x14ac:dyDescent="0.25">
      <c r="A24" s="27" t="s">
        <v>96</v>
      </c>
      <c r="B24" s="7">
        <v>0</v>
      </c>
      <c r="C24" s="7">
        <v>0</v>
      </c>
      <c r="D24" s="7">
        <v>-593.99</v>
      </c>
      <c r="E24" s="7">
        <v>-593.99</v>
      </c>
      <c r="F24" s="7">
        <v>-11611.06</v>
      </c>
      <c r="G24" s="7">
        <v>-11611.06</v>
      </c>
      <c r="H24" s="7">
        <v>-4347.22</v>
      </c>
      <c r="I24" s="7">
        <v>-4347.22</v>
      </c>
      <c r="J24" s="7">
        <v>-13763.79</v>
      </c>
      <c r="K24" s="7">
        <v>-13763.79</v>
      </c>
      <c r="L24" s="7">
        <v>-6247.28</v>
      </c>
      <c r="M24" s="7">
        <v>-6247.28</v>
      </c>
      <c r="N24" s="7">
        <v>-7354</v>
      </c>
      <c r="O24" s="7">
        <v>-7354</v>
      </c>
      <c r="P24" s="7">
        <v>-41148.82</v>
      </c>
      <c r="Q24" s="7">
        <v>-41148.82</v>
      </c>
      <c r="R24" s="7">
        <v>-8723.65</v>
      </c>
      <c r="S24" s="7">
        <v>-8723.65</v>
      </c>
      <c r="T24" s="7">
        <v>-4569.82</v>
      </c>
      <c r="U24" s="7">
        <v>-4569.82</v>
      </c>
      <c r="V24" s="7">
        <v>-8004.5</v>
      </c>
      <c r="W24" s="7">
        <v>-8004.5</v>
      </c>
      <c r="X24" s="7">
        <v>-11181.07</v>
      </c>
      <c r="Y24" s="7">
        <v>-11181.07</v>
      </c>
      <c r="Z24" s="7">
        <v>-14213.39</v>
      </c>
      <c r="AA24" s="7">
        <v>-14213.39</v>
      </c>
      <c r="AB24" s="7">
        <v>-72284.52</v>
      </c>
      <c r="AC24" s="7">
        <v>-72284.52</v>
      </c>
      <c r="AD24" s="7">
        <v>-95433.91</v>
      </c>
      <c r="AE24" s="7">
        <v>-95433.91</v>
      </c>
      <c r="AF24" s="7">
        <v>-56574.05</v>
      </c>
      <c r="AG24" s="7">
        <v>-56574.05</v>
      </c>
      <c r="AH24" s="7">
        <v>-103788.84</v>
      </c>
      <c r="AI24" s="7">
        <v>-103788.84</v>
      </c>
      <c r="AJ24" s="7">
        <v>-26337.19</v>
      </c>
      <c r="AK24" s="7">
        <v>-26337.19</v>
      </c>
      <c r="AL24" s="7">
        <v>-42445.55</v>
      </c>
      <c r="AM24" s="7">
        <v>-42445.55</v>
      </c>
      <c r="AN24" s="7">
        <v>-65385.66</v>
      </c>
      <c r="AO24" s="7">
        <v>-65385.66</v>
      </c>
      <c r="AP24" s="7">
        <v>-6117.73</v>
      </c>
      <c r="AQ24" s="7">
        <v>0</v>
      </c>
      <c r="AR24" s="7">
        <v>-5500</v>
      </c>
      <c r="AS24" s="7">
        <v>0</v>
      </c>
      <c r="AT24" s="7">
        <v>-5500</v>
      </c>
      <c r="AU24" s="7">
        <v>0</v>
      </c>
      <c r="AV24" s="7">
        <f t="shared" si="0"/>
        <v>-611126.04</v>
      </c>
      <c r="AW24" s="28">
        <f t="shared" si="1"/>
        <v>-594008.31000000006</v>
      </c>
    </row>
    <row r="25" spans="1:49" s="3" customFormat="1" x14ac:dyDescent="0.25">
      <c r="A25" s="34" t="s">
        <v>97</v>
      </c>
      <c r="B25" s="11">
        <v>0</v>
      </c>
      <c r="C25" s="12">
        <v>0</v>
      </c>
      <c r="D25" s="11">
        <v>0</v>
      </c>
      <c r="E25" s="12">
        <v>0</v>
      </c>
      <c r="F25" s="11">
        <v>-2500</v>
      </c>
      <c r="G25" s="12">
        <v>-2500</v>
      </c>
      <c r="H25" s="11">
        <v>-2500</v>
      </c>
      <c r="I25" s="12">
        <v>-2500</v>
      </c>
      <c r="J25" s="11">
        <v>-2500</v>
      </c>
      <c r="K25" s="12">
        <v>-2500</v>
      </c>
      <c r="L25" s="11">
        <v>-5500</v>
      </c>
      <c r="M25" s="12">
        <v>-5500</v>
      </c>
      <c r="N25" s="11">
        <v>-7300</v>
      </c>
      <c r="O25" s="12">
        <v>-7300</v>
      </c>
      <c r="P25" s="11">
        <v>-39853.83</v>
      </c>
      <c r="Q25" s="12">
        <v>-39853.83</v>
      </c>
      <c r="R25" s="11">
        <v>-4000</v>
      </c>
      <c r="S25" s="12">
        <v>-4000</v>
      </c>
      <c r="T25" s="11">
        <v>-2500</v>
      </c>
      <c r="U25" s="12">
        <v>-2500</v>
      </c>
      <c r="V25" s="11">
        <v>-6400</v>
      </c>
      <c r="W25" s="12">
        <v>-6400</v>
      </c>
      <c r="X25" s="11">
        <v>-8553.9</v>
      </c>
      <c r="Y25" s="12">
        <v>-8553.9</v>
      </c>
      <c r="Z25" s="11">
        <v>-12553.9</v>
      </c>
      <c r="AA25" s="12">
        <v>-12553.9</v>
      </c>
      <c r="AB25" s="11">
        <v>-66553.899999999994</v>
      </c>
      <c r="AC25" s="12">
        <v>-66553.899999999994</v>
      </c>
      <c r="AD25" s="11">
        <v>-92017.01</v>
      </c>
      <c r="AE25" s="12">
        <v>-92017.01</v>
      </c>
      <c r="AF25" s="11">
        <v>-53271.75</v>
      </c>
      <c r="AG25" s="12">
        <v>-53271.75</v>
      </c>
      <c r="AH25" s="11">
        <v>-102545.68</v>
      </c>
      <c r="AI25" s="12">
        <v>-102545.68</v>
      </c>
      <c r="AJ25" s="11">
        <v>-24261.77</v>
      </c>
      <c r="AK25" s="12">
        <v>-24261.77</v>
      </c>
      <c r="AL25" s="11">
        <v>-41242.44</v>
      </c>
      <c r="AM25" s="12">
        <v>-41242.44</v>
      </c>
      <c r="AN25" s="11">
        <v>-64747.96</v>
      </c>
      <c r="AO25" s="12">
        <v>-64747.96</v>
      </c>
      <c r="AP25" s="11">
        <v>-2500</v>
      </c>
      <c r="AQ25" s="12">
        <v>0</v>
      </c>
      <c r="AR25" s="11">
        <v>-2500</v>
      </c>
      <c r="AS25" s="12">
        <v>0</v>
      </c>
      <c r="AT25" s="11">
        <v>-2500</v>
      </c>
      <c r="AU25" s="12">
        <v>0</v>
      </c>
      <c r="AV25" s="11">
        <f t="shared" si="0"/>
        <v>-546302.14</v>
      </c>
      <c r="AW25" s="35">
        <f t="shared" si="1"/>
        <v>-538802.14</v>
      </c>
    </row>
    <row r="26" spans="1:49" x14ac:dyDescent="0.25">
      <c r="A26" s="29" t="s">
        <v>41</v>
      </c>
      <c r="B26" s="8">
        <v>0</v>
      </c>
      <c r="C26" s="9">
        <v>0</v>
      </c>
      <c r="D26" s="8">
        <v>0</v>
      </c>
      <c r="E26" s="9">
        <v>0</v>
      </c>
      <c r="F26" s="8">
        <v>-2500</v>
      </c>
      <c r="G26" s="9">
        <v>-2500</v>
      </c>
      <c r="H26" s="8">
        <v>-2500</v>
      </c>
      <c r="I26" s="9">
        <v>-2500</v>
      </c>
      <c r="J26" s="8">
        <v>-2500</v>
      </c>
      <c r="K26" s="9">
        <v>-2500</v>
      </c>
      <c r="L26" s="8">
        <v>-2500</v>
      </c>
      <c r="M26" s="9">
        <v>-2500</v>
      </c>
      <c r="N26" s="8">
        <v>-2500</v>
      </c>
      <c r="O26" s="9">
        <v>-2500</v>
      </c>
      <c r="P26" s="8">
        <v>-2500</v>
      </c>
      <c r="Q26" s="9">
        <v>-2500</v>
      </c>
      <c r="R26" s="8">
        <v>-2500</v>
      </c>
      <c r="S26" s="9">
        <v>-2500</v>
      </c>
      <c r="T26" s="8">
        <v>-2500</v>
      </c>
      <c r="U26" s="9">
        <v>-2500</v>
      </c>
      <c r="V26" s="8">
        <v>-2500</v>
      </c>
      <c r="W26" s="9">
        <v>-2500</v>
      </c>
      <c r="X26" s="8">
        <v>-2500</v>
      </c>
      <c r="Y26" s="9">
        <v>-2500</v>
      </c>
      <c r="Z26" s="8">
        <v>-2500</v>
      </c>
      <c r="AA26" s="9">
        <v>-2500</v>
      </c>
      <c r="AB26" s="8">
        <v>-2500</v>
      </c>
      <c r="AC26" s="9">
        <v>-2500</v>
      </c>
      <c r="AD26" s="8">
        <v>-2500</v>
      </c>
      <c r="AE26" s="9">
        <v>-2500</v>
      </c>
      <c r="AF26" s="8">
        <v>-2500</v>
      </c>
      <c r="AG26" s="9">
        <v>-2500</v>
      </c>
      <c r="AH26" s="8">
        <v>-2500</v>
      </c>
      <c r="AI26" s="9">
        <v>-2500</v>
      </c>
      <c r="AJ26" s="8">
        <v>-2500</v>
      </c>
      <c r="AK26" s="9">
        <v>-2500</v>
      </c>
      <c r="AL26" s="8">
        <v>-1930</v>
      </c>
      <c r="AM26" s="9">
        <v>-1930</v>
      </c>
      <c r="AN26" s="8">
        <v>0</v>
      </c>
      <c r="AO26" s="9">
        <v>0</v>
      </c>
      <c r="AP26" s="8">
        <v>-2500</v>
      </c>
      <c r="AQ26" s="9">
        <v>0</v>
      </c>
      <c r="AR26" s="8">
        <v>-2500</v>
      </c>
      <c r="AS26" s="9">
        <v>0</v>
      </c>
      <c r="AT26" s="8">
        <v>-2500</v>
      </c>
      <c r="AU26" s="9">
        <v>0</v>
      </c>
      <c r="AV26" s="8">
        <f t="shared" si="0"/>
        <v>-49430</v>
      </c>
      <c r="AW26" s="30">
        <f t="shared" si="1"/>
        <v>-41930</v>
      </c>
    </row>
    <row r="27" spans="1:49" x14ac:dyDescent="0.25">
      <c r="A27" s="29" t="s">
        <v>42</v>
      </c>
      <c r="B27" s="8">
        <v>0</v>
      </c>
      <c r="C27" s="9">
        <v>0</v>
      </c>
      <c r="D27" s="8">
        <v>0</v>
      </c>
      <c r="E27" s="9">
        <v>0</v>
      </c>
      <c r="F27" s="8">
        <v>0</v>
      </c>
      <c r="G27" s="9">
        <v>0</v>
      </c>
      <c r="H27" s="8">
        <v>0</v>
      </c>
      <c r="I27" s="9">
        <v>0</v>
      </c>
      <c r="J27" s="8">
        <v>0</v>
      </c>
      <c r="K27" s="9">
        <v>0</v>
      </c>
      <c r="L27" s="8">
        <v>-3000</v>
      </c>
      <c r="M27" s="9">
        <v>-3000</v>
      </c>
      <c r="N27" s="8">
        <v>-4800</v>
      </c>
      <c r="O27" s="9">
        <v>-4800</v>
      </c>
      <c r="P27" s="8">
        <v>-35319.5</v>
      </c>
      <c r="Q27" s="9">
        <v>-35319.5</v>
      </c>
      <c r="R27" s="8">
        <v>-1500</v>
      </c>
      <c r="S27" s="9">
        <v>-1500</v>
      </c>
      <c r="T27" s="8">
        <v>0</v>
      </c>
      <c r="U27" s="9">
        <v>0</v>
      </c>
      <c r="V27" s="8">
        <v>-3900</v>
      </c>
      <c r="W27" s="9">
        <v>-3900</v>
      </c>
      <c r="X27" s="8">
        <v>-6053.9</v>
      </c>
      <c r="Y27" s="9">
        <v>-6053.9</v>
      </c>
      <c r="Z27" s="8">
        <v>-10053.9</v>
      </c>
      <c r="AA27" s="9">
        <v>-10053.9</v>
      </c>
      <c r="AB27" s="8">
        <v>-64053.9</v>
      </c>
      <c r="AC27" s="9">
        <v>-64053.9</v>
      </c>
      <c r="AD27" s="8">
        <v>-89517.01</v>
      </c>
      <c r="AE27" s="9">
        <v>-89517.01</v>
      </c>
      <c r="AF27" s="8">
        <v>-50771.75</v>
      </c>
      <c r="AG27" s="9">
        <v>-50771.75</v>
      </c>
      <c r="AH27" s="8">
        <v>-100045.68</v>
      </c>
      <c r="AI27" s="9">
        <v>-100045.68</v>
      </c>
      <c r="AJ27" s="8">
        <v>-21761.77</v>
      </c>
      <c r="AK27" s="9">
        <v>-21761.77</v>
      </c>
      <c r="AL27" s="8">
        <v>-39312.44</v>
      </c>
      <c r="AM27" s="9">
        <v>-39312.44</v>
      </c>
      <c r="AN27" s="8">
        <v>-64747.96</v>
      </c>
      <c r="AO27" s="9">
        <v>-64747.96</v>
      </c>
      <c r="AP27" s="8">
        <v>0</v>
      </c>
      <c r="AQ27" s="9">
        <v>0</v>
      </c>
      <c r="AR27" s="8">
        <v>0</v>
      </c>
      <c r="AS27" s="9">
        <v>0</v>
      </c>
      <c r="AT27" s="8">
        <v>0</v>
      </c>
      <c r="AU27" s="9">
        <v>0</v>
      </c>
      <c r="AV27" s="8">
        <f t="shared" si="0"/>
        <v>-494837.81000000006</v>
      </c>
      <c r="AW27" s="30">
        <f t="shared" si="1"/>
        <v>-494837.81000000006</v>
      </c>
    </row>
    <row r="28" spans="1:49" x14ac:dyDescent="0.25">
      <c r="A28" s="29" t="s">
        <v>43</v>
      </c>
      <c r="B28" s="8">
        <v>0</v>
      </c>
      <c r="C28" s="9">
        <v>0</v>
      </c>
      <c r="D28" s="8">
        <v>0</v>
      </c>
      <c r="E28" s="9">
        <v>0</v>
      </c>
      <c r="F28" s="8">
        <v>0</v>
      </c>
      <c r="G28" s="9">
        <v>0</v>
      </c>
      <c r="H28" s="8">
        <v>0</v>
      </c>
      <c r="I28" s="9">
        <v>0</v>
      </c>
      <c r="J28" s="8">
        <v>0</v>
      </c>
      <c r="K28" s="9">
        <v>0</v>
      </c>
      <c r="L28" s="8">
        <v>0</v>
      </c>
      <c r="M28" s="9">
        <v>0</v>
      </c>
      <c r="N28" s="8">
        <v>0</v>
      </c>
      <c r="O28" s="9">
        <v>0</v>
      </c>
      <c r="P28" s="8">
        <v>-2034.33</v>
      </c>
      <c r="Q28" s="9">
        <v>-2034.33</v>
      </c>
      <c r="R28" s="8">
        <v>0</v>
      </c>
      <c r="S28" s="9">
        <v>0</v>
      </c>
      <c r="T28" s="8">
        <v>0</v>
      </c>
      <c r="U28" s="9">
        <v>0</v>
      </c>
      <c r="V28" s="8">
        <v>0</v>
      </c>
      <c r="W28" s="9">
        <v>0</v>
      </c>
      <c r="X28" s="8"/>
      <c r="Y28" s="9"/>
      <c r="Z28" s="8"/>
      <c r="AA28" s="9"/>
      <c r="AB28" s="8"/>
      <c r="AC28" s="9"/>
      <c r="AD28" s="8"/>
      <c r="AE28" s="9"/>
      <c r="AF28" s="8"/>
      <c r="AG28" s="9"/>
      <c r="AH28" s="8"/>
      <c r="AI28" s="9"/>
      <c r="AJ28" s="8"/>
      <c r="AK28" s="9"/>
      <c r="AL28" s="8"/>
      <c r="AM28" s="9"/>
      <c r="AN28" s="8"/>
      <c r="AO28" s="9"/>
      <c r="AP28" s="8"/>
      <c r="AQ28" s="9"/>
      <c r="AR28" s="8"/>
      <c r="AS28" s="9"/>
      <c r="AT28" s="8"/>
      <c r="AU28" s="9"/>
      <c r="AV28" s="8">
        <f t="shared" si="0"/>
        <v>-2034.33</v>
      </c>
      <c r="AW28" s="30">
        <f t="shared" si="1"/>
        <v>-2034.33</v>
      </c>
    </row>
    <row r="29" spans="1:49" s="3" customFormat="1" x14ac:dyDescent="0.25">
      <c r="A29" s="34" t="s">
        <v>98</v>
      </c>
      <c r="B29" s="11">
        <v>0</v>
      </c>
      <c r="C29" s="12">
        <v>0</v>
      </c>
      <c r="D29" s="11">
        <v>-593.99</v>
      </c>
      <c r="E29" s="12">
        <v>-593.99</v>
      </c>
      <c r="F29" s="11">
        <v>-9111.06</v>
      </c>
      <c r="G29" s="12">
        <v>-9111.06</v>
      </c>
      <c r="H29" s="11">
        <v>-1847.22</v>
      </c>
      <c r="I29" s="12">
        <v>-1847.22</v>
      </c>
      <c r="J29" s="11">
        <v>-11263.79</v>
      </c>
      <c r="K29" s="12">
        <v>-11263.79</v>
      </c>
      <c r="L29" s="11">
        <v>-747.28</v>
      </c>
      <c r="M29" s="12">
        <v>-747.28</v>
      </c>
      <c r="N29" s="11">
        <v>-54</v>
      </c>
      <c r="O29" s="12">
        <v>-54</v>
      </c>
      <c r="P29" s="11">
        <v>-1294.99</v>
      </c>
      <c r="Q29" s="12">
        <v>-1294.99</v>
      </c>
      <c r="R29" s="11">
        <v>-4723.6499999999996</v>
      </c>
      <c r="S29" s="12">
        <v>-4723.6499999999996</v>
      </c>
      <c r="T29" s="11">
        <v>-2069.8200000000002</v>
      </c>
      <c r="U29" s="12">
        <v>-2069.8200000000002</v>
      </c>
      <c r="V29" s="11">
        <v>-1604.5</v>
      </c>
      <c r="W29" s="12">
        <v>-1604.5</v>
      </c>
      <c r="X29" s="11">
        <v>-2627.17</v>
      </c>
      <c r="Y29" s="12">
        <v>-2627.17</v>
      </c>
      <c r="Z29" s="11">
        <v>-1659.49</v>
      </c>
      <c r="AA29" s="12">
        <v>-1659.49</v>
      </c>
      <c r="AB29" s="11">
        <v>-5730.62</v>
      </c>
      <c r="AC29" s="12">
        <v>-5730.62</v>
      </c>
      <c r="AD29" s="11">
        <v>-3416.9</v>
      </c>
      <c r="AE29" s="12">
        <v>-3416.9</v>
      </c>
      <c r="AF29" s="11">
        <v>-3302.3</v>
      </c>
      <c r="AG29" s="12">
        <v>-3302.3</v>
      </c>
      <c r="AH29" s="11">
        <v>-1243.1600000000001</v>
      </c>
      <c r="AI29" s="12">
        <v>-1243.1600000000001</v>
      </c>
      <c r="AJ29" s="11">
        <v>-2075.42</v>
      </c>
      <c r="AK29" s="12">
        <v>-2075.42</v>
      </c>
      <c r="AL29" s="11">
        <v>-1203.1099999999999</v>
      </c>
      <c r="AM29" s="12">
        <v>-1203.1099999999999</v>
      </c>
      <c r="AN29" s="11">
        <v>-637.70000000000005</v>
      </c>
      <c r="AO29" s="12">
        <v>-637.70000000000005</v>
      </c>
      <c r="AP29" s="11">
        <v>-3617.73</v>
      </c>
      <c r="AQ29" s="12">
        <v>0</v>
      </c>
      <c r="AR29" s="11">
        <v>-3000</v>
      </c>
      <c r="AS29" s="12">
        <v>0</v>
      </c>
      <c r="AT29" s="11">
        <v>-3000</v>
      </c>
      <c r="AU29" s="12">
        <v>0</v>
      </c>
      <c r="AV29" s="11">
        <f t="shared" si="0"/>
        <v>-64823.9</v>
      </c>
      <c r="AW29" s="35">
        <f t="shared" si="1"/>
        <v>-55206.17</v>
      </c>
    </row>
    <row r="30" spans="1:49" s="3" customFormat="1" x14ac:dyDescent="0.25">
      <c r="A30" s="31" t="s">
        <v>99</v>
      </c>
      <c r="B30" s="11"/>
      <c r="C30" s="12"/>
      <c r="D30" s="11"/>
      <c r="E30" s="12"/>
      <c r="F30" s="11"/>
      <c r="G30" s="12"/>
      <c r="H30" s="11"/>
      <c r="I30" s="12"/>
      <c r="J30" s="11"/>
      <c r="K30" s="12"/>
      <c r="L30" s="11"/>
      <c r="M30" s="12"/>
      <c r="N30" s="11"/>
      <c r="O30" s="12"/>
      <c r="P30" s="11"/>
      <c r="Q30" s="12"/>
      <c r="R30" s="11"/>
      <c r="S30" s="12"/>
      <c r="T30" s="11"/>
      <c r="U30" s="12"/>
      <c r="V30" s="11"/>
      <c r="W30" s="12"/>
      <c r="X30" s="11">
        <v>0</v>
      </c>
      <c r="Y30" s="12">
        <v>0</v>
      </c>
      <c r="Z30" s="11">
        <v>0</v>
      </c>
      <c r="AA30" s="12">
        <v>0</v>
      </c>
      <c r="AB30" s="11">
        <v>0</v>
      </c>
      <c r="AC30" s="12">
        <v>0</v>
      </c>
      <c r="AD30" s="11">
        <v>0</v>
      </c>
      <c r="AE30" s="12">
        <v>0</v>
      </c>
      <c r="AF30" s="11">
        <v>0</v>
      </c>
      <c r="AG30" s="12">
        <v>0</v>
      </c>
      <c r="AH30" s="11"/>
      <c r="AI30" s="12"/>
      <c r="AJ30" s="16">
        <v>0</v>
      </c>
      <c r="AK30" s="17">
        <v>0</v>
      </c>
      <c r="AL30" s="16">
        <v>0</v>
      </c>
      <c r="AM30" s="17">
        <v>0</v>
      </c>
      <c r="AN30" s="16">
        <v>-3000</v>
      </c>
      <c r="AO30" s="17">
        <v>0</v>
      </c>
      <c r="AP30" s="16">
        <v>-3000</v>
      </c>
      <c r="AQ30" s="17">
        <v>0</v>
      </c>
      <c r="AR30" s="16">
        <v>-3000</v>
      </c>
      <c r="AS30" s="17">
        <v>0</v>
      </c>
      <c r="AT30" s="16">
        <v>-3000</v>
      </c>
      <c r="AU30" s="17">
        <v>0</v>
      </c>
      <c r="AV30" s="16">
        <f t="shared" si="0"/>
        <v>-12000</v>
      </c>
      <c r="AW30" s="35">
        <f t="shared" si="1"/>
        <v>0</v>
      </c>
    </row>
    <row r="31" spans="1:49" x14ac:dyDescent="0.25">
      <c r="A31" s="29" t="s">
        <v>44</v>
      </c>
      <c r="B31" s="8">
        <v>0</v>
      </c>
      <c r="C31" s="9">
        <v>0</v>
      </c>
      <c r="D31" s="8">
        <v>0</v>
      </c>
      <c r="E31" s="9">
        <v>0</v>
      </c>
      <c r="F31" s="8">
        <v>-100</v>
      </c>
      <c r="G31" s="9">
        <v>-100</v>
      </c>
      <c r="H31" s="8">
        <v>-180</v>
      </c>
      <c r="I31" s="9">
        <v>-180</v>
      </c>
      <c r="J31" s="8">
        <v>0</v>
      </c>
      <c r="K31" s="9">
        <v>0</v>
      </c>
      <c r="L31" s="8">
        <v>0</v>
      </c>
      <c r="M31" s="9">
        <v>0</v>
      </c>
      <c r="N31" s="8">
        <v>0</v>
      </c>
      <c r="O31" s="9">
        <v>0</v>
      </c>
      <c r="P31" s="8">
        <v>0</v>
      </c>
      <c r="Q31" s="9">
        <v>0</v>
      </c>
      <c r="R31" s="8">
        <v>0</v>
      </c>
      <c r="S31" s="9">
        <v>0</v>
      </c>
      <c r="T31" s="8">
        <v>0</v>
      </c>
      <c r="U31" s="9">
        <v>0</v>
      </c>
      <c r="V31" s="8">
        <v>0</v>
      </c>
      <c r="W31" s="9">
        <v>0</v>
      </c>
      <c r="X31" s="8">
        <v>0</v>
      </c>
      <c r="Y31" s="9">
        <v>0</v>
      </c>
      <c r="Z31" s="8">
        <v>0</v>
      </c>
      <c r="AA31" s="9">
        <v>0</v>
      </c>
      <c r="AB31" s="8">
        <v>-188</v>
      </c>
      <c r="AC31" s="9">
        <v>-188</v>
      </c>
      <c r="AD31" s="8">
        <v>0</v>
      </c>
      <c r="AE31" s="9">
        <v>0</v>
      </c>
      <c r="AF31" s="8">
        <v>0</v>
      </c>
      <c r="AG31" s="9">
        <v>0</v>
      </c>
      <c r="AH31" s="8"/>
      <c r="AI31" s="9"/>
      <c r="AJ31" s="8"/>
      <c r="AK31" s="9"/>
      <c r="AL31" s="8"/>
      <c r="AM31" s="9"/>
      <c r="AN31" s="8"/>
      <c r="AO31" s="9"/>
      <c r="AP31" s="8"/>
      <c r="AQ31" s="9"/>
      <c r="AR31" s="8"/>
      <c r="AS31" s="9"/>
      <c r="AT31" s="8"/>
      <c r="AU31" s="9"/>
      <c r="AV31" s="8">
        <f t="shared" si="0"/>
        <v>-468</v>
      </c>
      <c r="AW31" s="30">
        <f t="shared" si="1"/>
        <v>-468</v>
      </c>
    </row>
    <row r="32" spans="1:49" x14ac:dyDescent="0.25">
      <c r="A32" s="29" t="s">
        <v>45</v>
      </c>
      <c r="B32" s="8">
        <v>0</v>
      </c>
      <c r="C32" s="9">
        <v>0</v>
      </c>
      <c r="D32" s="8">
        <v>0</v>
      </c>
      <c r="E32" s="9">
        <v>0</v>
      </c>
      <c r="F32" s="8">
        <v>0</v>
      </c>
      <c r="G32" s="9">
        <v>0</v>
      </c>
      <c r="H32" s="8">
        <v>0</v>
      </c>
      <c r="I32" s="9">
        <v>0</v>
      </c>
      <c r="J32" s="8">
        <v>-100</v>
      </c>
      <c r="K32" s="9">
        <v>-100</v>
      </c>
      <c r="L32" s="8">
        <v>0</v>
      </c>
      <c r="M32" s="9">
        <v>0</v>
      </c>
      <c r="N32" s="8">
        <v>0</v>
      </c>
      <c r="O32" s="9">
        <v>0</v>
      </c>
      <c r="P32" s="8">
        <v>0</v>
      </c>
      <c r="Q32" s="9">
        <v>0</v>
      </c>
      <c r="R32" s="8">
        <v>0</v>
      </c>
      <c r="S32" s="9">
        <v>0</v>
      </c>
      <c r="T32" s="8">
        <v>0</v>
      </c>
      <c r="U32" s="9">
        <v>0</v>
      </c>
      <c r="V32" s="8">
        <v>0</v>
      </c>
      <c r="W32" s="9">
        <v>0</v>
      </c>
      <c r="X32" s="8"/>
      <c r="Y32" s="9"/>
      <c r="Z32" s="8"/>
      <c r="AA32" s="9"/>
      <c r="AB32" s="8"/>
      <c r="AC32" s="9"/>
      <c r="AD32" s="8"/>
      <c r="AE32" s="9"/>
      <c r="AF32" s="8"/>
      <c r="AG32" s="9"/>
      <c r="AH32" s="8"/>
      <c r="AI32" s="9"/>
      <c r="AJ32" s="8"/>
      <c r="AK32" s="9"/>
      <c r="AL32" s="8"/>
      <c r="AM32" s="9"/>
      <c r="AN32" s="8"/>
      <c r="AO32" s="9"/>
      <c r="AP32" s="8"/>
      <c r="AQ32" s="9"/>
      <c r="AR32" s="8"/>
      <c r="AS32" s="9"/>
      <c r="AT32" s="8"/>
      <c r="AU32" s="9"/>
      <c r="AV32" s="8">
        <f t="shared" si="0"/>
        <v>-100</v>
      </c>
      <c r="AW32" s="30">
        <f t="shared" si="1"/>
        <v>-100</v>
      </c>
    </row>
    <row r="33" spans="1:49" x14ac:dyDescent="0.25">
      <c r="A33" s="29" t="s">
        <v>46</v>
      </c>
      <c r="B33" s="8">
        <v>0</v>
      </c>
      <c r="C33" s="9">
        <v>0</v>
      </c>
      <c r="D33" s="8">
        <v>0</v>
      </c>
      <c r="E33" s="9">
        <v>0</v>
      </c>
      <c r="F33" s="8">
        <v>0</v>
      </c>
      <c r="G33" s="9">
        <v>0</v>
      </c>
      <c r="H33" s="8">
        <v>-381</v>
      </c>
      <c r="I33" s="9">
        <v>-381</v>
      </c>
      <c r="J33" s="8">
        <v>-2298.13</v>
      </c>
      <c r="K33" s="9">
        <v>-2298.13</v>
      </c>
      <c r="L33" s="8">
        <v>0</v>
      </c>
      <c r="M33" s="9">
        <v>0</v>
      </c>
      <c r="N33" s="8">
        <v>0</v>
      </c>
      <c r="O33" s="9">
        <v>0</v>
      </c>
      <c r="P33" s="8">
        <v>0</v>
      </c>
      <c r="Q33" s="9">
        <v>0</v>
      </c>
      <c r="R33" s="8">
        <v>-2022.14</v>
      </c>
      <c r="S33" s="9">
        <v>-2022.14</v>
      </c>
      <c r="T33" s="8">
        <v>0</v>
      </c>
      <c r="U33" s="9">
        <v>0</v>
      </c>
      <c r="V33" s="8">
        <v>0</v>
      </c>
      <c r="W33" s="9">
        <v>0</v>
      </c>
      <c r="X33" s="8">
        <v>0</v>
      </c>
      <c r="Y33" s="9">
        <v>0</v>
      </c>
      <c r="Z33" s="8">
        <v>0</v>
      </c>
      <c r="AA33" s="9">
        <v>0</v>
      </c>
      <c r="AB33" s="8">
        <v>-1414.51</v>
      </c>
      <c r="AC33" s="9">
        <v>-1414.51</v>
      </c>
      <c r="AD33" s="8">
        <v>-1474.96</v>
      </c>
      <c r="AE33" s="9">
        <v>-1474.96</v>
      </c>
      <c r="AF33" s="8">
        <v>-1474.96</v>
      </c>
      <c r="AG33" s="9">
        <v>-1474.96</v>
      </c>
      <c r="AH33" s="8"/>
      <c r="AI33" s="9"/>
      <c r="AJ33" s="8"/>
      <c r="AK33" s="9"/>
      <c r="AL33" s="8"/>
      <c r="AM33" s="9"/>
      <c r="AN33" s="8"/>
      <c r="AO33" s="9"/>
      <c r="AP33" s="8"/>
      <c r="AQ33" s="9"/>
      <c r="AR33" s="8"/>
      <c r="AS33" s="9"/>
      <c r="AT33" s="8"/>
      <c r="AU33" s="9"/>
      <c r="AV33" s="8">
        <f t="shared" si="0"/>
        <v>-9065.7000000000007</v>
      </c>
      <c r="AW33" s="30">
        <f t="shared" si="1"/>
        <v>-9065.7000000000007</v>
      </c>
    </row>
    <row r="34" spans="1:49" x14ac:dyDescent="0.25">
      <c r="A34" s="29" t="s">
        <v>47</v>
      </c>
      <c r="B34" s="8">
        <v>0</v>
      </c>
      <c r="C34" s="9">
        <v>0</v>
      </c>
      <c r="D34" s="8">
        <v>-592</v>
      </c>
      <c r="E34" s="9">
        <v>-592</v>
      </c>
      <c r="F34" s="8">
        <v>-9009.07</v>
      </c>
      <c r="G34" s="9">
        <v>-9009.07</v>
      </c>
      <c r="H34" s="8">
        <v>-1284.23</v>
      </c>
      <c r="I34" s="9">
        <v>-1284.23</v>
      </c>
      <c r="J34" s="8">
        <v>-8865.66</v>
      </c>
      <c r="K34" s="9">
        <v>-8865.66</v>
      </c>
      <c r="L34" s="8">
        <v>-745.29</v>
      </c>
      <c r="M34" s="9">
        <v>-745.29</v>
      </c>
      <c r="N34" s="8">
        <v>-54</v>
      </c>
      <c r="O34" s="9">
        <v>-54</v>
      </c>
      <c r="P34" s="8">
        <v>-1293</v>
      </c>
      <c r="Q34" s="9">
        <v>-1293</v>
      </c>
      <c r="R34" s="8">
        <v>-2699.52</v>
      </c>
      <c r="S34" s="9">
        <v>-2699.52</v>
      </c>
      <c r="T34" s="8">
        <v>-2069.8200000000002</v>
      </c>
      <c r="U34" s="9">
        <v>-2069.8200000000002</v>
      </c>
      <c r="V34" s="8">
        <v>-1604.5</v>
      </c>
      <c r="W34" s="9">
        <v>-1604.5</v>
      </c>
      <c r="X34" s="8">
        <v>-2627.17</v>
      </c>
      <c r="Y34" s="9">
        <v>-2627.17</v>
      </c>
      <c r="Z34" s="8">
        <v>-1659.49</v>
      </c>
      <c r="AA34" s="9">
        <v>-1659.49</v>
      </c>
      <c r="AB34" s="8">
        <v>-4128.1099999999997</v>
      </c>
      <c r="AC34" s="9">
        <v>-4128.1099999999997</v>
      </c>
      <c r="AD34" s="8">
        <v>-1937.95</v>
      </c>
      <c r="AE34" s="9">
        <v>-1937.95</v>
      </c>
      <c r="AF34" s="8">
        <v>-1825.35</v>
      </c>
      <c r="AG34" s="9">
        <v>-1825.35</v>
      </c>
      <c r="AH34" s="8">
        <v>-1243.1600000000001</v>
      </c>
      <c r="AI34" s="9">
        <v>-1243.1600000000001</v>
      </c>
      <c r="AJ34" s="8">
        <v>-2075.42</v>
      </c>
      <c r="AK34" s="9">
        <v>-2075.42</v>
      </c>
      <c r="AL34" s="8">
        <v>-1201.1199999999999</v>
      </c>
      <c r="AM34" s="9">
        <v>-1201.1199999999999</v>
      </c>
      <c r="AN34" s="8">
        <v>-637.70000000000005</v>
      </c>
      <c r="AO34" s="9">
        <v>-637.70000000000005</v>
      </c>
      <c r="AP34" s="8">
        <v>-617.73</v>
      </c>
      <c r="AQ34" s="9">
        <v>0</v>
      </c>
      <c r="AR34" s="8">
        <v>0</v>
      </c>
      <c r="AS34" s="9">
        <v>0</v>
      </c>
      <c r="AT34" s="8">
        <v>0</v>
      </c>
      <c r="AU34" s="9">
        <v>0</v>
      </c>
      <c r="AV34" s="8">
        <f t="shared" si="0"/>
        <v>-46170.29</v>
      </c>
      <c r="AW34" s="30">
        <f t="shared" si="1"/>
        <v>-45552.56</v>
      </c>
    </row>
    <row r="35" spans="1:49" x14ac:dyDescent="0.25">
      <c r="A35" s="29" t="s">
        <v>48</v>
      </c>
      <c r="B35" s="8">
        <v>0</v>
      </c>
      <c r="C35" s="9">
        <v>0</v>
      </c>
      <c r="D35" s="8">
        <v>-1.99</v>
      </c>
      <c r="E35" s="9">
        <v>-1.99</v>
      </c>
      <c r="F35" s="8">
        <v>-1.99</v>
      </c>
      <c r="G35" s="9">
        <v>-1.99</v>
      </c>
      <c r="H35" s="8">
        <v>-1.99</v>
      </c>
      <c r="I35" s="9">
        <v>-1.99</v>
      </c>
      <c r="J35" s="8">
        <v>0</v>
      </c>
      <c r="K35" s="9">
        <v>0</v>
      </c>
      <c r="L35" s="8">
        <v>-1.99</v>
      </c>
      <c r="M35" s="9">
        <v>-1.99</v>
      </c>
      <c r="N35" s="8">
        <v>0</v>
      </c>
      <c r="O35" s="9">
        <v>0</v>
      </c>
      <c r="P35" s="8">
        <v>-1.99</v>
      </c>
      <c r="Q35" s="9">
        <v>-1.99</v>
      </c>
      <c r="R35" s="8">
        <v>-1.99</v>
      </c>
      <c r="S35" s="9">
        <v>-1.99</v>
      </c>
      <c r="T35" s="8">
        <v>0</v>
      </c>
      <c r="U35" s="9">
        <v>0</v>
      </c>
      <c r="V35" s="8">
        <v>0</v>
      </c>
      <c r="W35" s="9">
        <v>0</v>
      </c>
      <c r="X35" s="8">
        <v>0</v>
      </c>
      <c r="Y35" s="9">
        <v>0</v>
      </c>
      <c r="Z35" s="8">
        <v>0</v>
      </c>
      <c r="AA35" s="9">
        <v>0</v>
      </c>
      <c r="AB35" s="8">
        <v>0</v>
      </c>
      <c r="AC35" s="9">
        <v>0</v>
      </c>
      <c r="AD35" s="8">
        <v>-3.99</v>
      </c>
      <c r="AE35" s="9">
        <v>-3.99</v>
      </c>
      <c r="AF35" s="8">
        <v>-1.99</v>
      </c>
      <c r="AG35" s="9">
        <v>-1.99</v>
      </c>
      <c r="AH35" s="8"/>
      <c r="AI35" s="9"/>
      <c r="AJ35" s="8"/>
      <c r="AK35" s="9"/>
      <c r="AL35" s="8">
        <v>-1.99</v>
      </c>
      <c r="AM35" s="9">
        <v>-1.99</v>
      </c>
      <c r="AN35" s="8"/>
      <c r="AO35" s="9"/>
      <c r="AP35" s="8"/>
      <c r="AQ35" s="9"/>
      <c r="AR35" s="8"/>
      <c r="AS35" s="9"/>
      <c r="AT35" s="8"/>
      <c r="AU35" s="9"/>
      <c r="AV35" s="8">
        <f t="shared" si="0"/>
        <v>-19.909999999999997</v>
      </c>
      <c r="AW35" s="30">
        <f t="shared" si="1"/>
        <v>-19.909999999999997</v>
      </c>
    </row>
    <row r="36" spans="1:49" s="3" customFormat="1" x14ac:dyDescent="0.25">
      <c r="A36" s="27" t="s">
        <v>100</v>
      </c>
      <c r="B36" s="7">
        <v>-1410.79</v>
      </c>
      <c r="C36" s="7">
        <v>-1410.79</v>
      </c>
      <c r="D36" s="7">
        <v>-3917.38</v>
      </c>
      <c r="E36" s="7">
        <v>-3920.21</v>
      </c>
      <c r="F36" s="7">
        <v>-11525.99</v>
      </c>
      <c r="G36" s="7">
        <v>-11525.99</v>
      </c>
      <c r="H36" s="7">
        <v>-7546.45</v>
      </c>
      <c r="I36" s="7">
        <v>-7546.45</v>
      </c>
      <c r="J36" s="7">
        <v>-8918.8700000000008</v>
      </c>
      <c r="K36" s="7">
        <v>-8901.08</v>
      </c>
      <c r="L36" s="7">
        <v>-22766.27</v>
      </c>
      <c r="M36" s="7">
        <v>-22766.27</v>
      </c>
      <c r="N36" s="7">
        <v>-6325</v>
      </c>
      <c r="O36" s="7">
        <v>-6327.62</v>
      </c>
      <c r="P36" s="7">
        <v>-5389.26</v>
      </c>
      <c r="Q36" s="7">
        <v>-5389.26</v>
      </c>
      <c r="R36" s="7">
        <v>-8244.56</v>
      </c>
      <c r="S36" s="7">
        <v>-8244.56</v>
      </c>
      <c r="T36" s="7">
        <v>-11482.26</v>
      </c>
      <c r="U36" s="7">
        <v>-11482.26</v>
      </c>
      <c r="V36" s="7">
        <v>-9190.91</v>
      </c>
      <c r="W36" s="7">
        <v>-9190.91</v>
      </c>
      <c r="X36" s="7">
        <v>-9280.33</v>
      </c>
      <c r="Y36" s="7">
        <v>-9280.33</v>
      </c>
      <c r="Z36" s="7">
        <v>-34497.53</v>
      </c>
      <c r="AA36" s="7">
        <v>-34497.53</v>
      </c>
      <c r="AB36" s="7">
        <v>-16462.259999999998</v>
      </c>
      <c r="AC36" s="7">
        <v>-16462.259999999998</v>
      </c>
      <c r="AD36" s="7">
        <v>-28423.14</v>
      </c>
      <c r="AE36" s="7">
        <v>-28423.14</v>
      </c>
      <c r="AF36" s="7">
        <v>-35944</v>
      </c>
      <c r="AG36" s="7">
        <v>-35944</v>
      </c>
      <c r="AH36" s="7">
        <v>-9713.24</v>
      </c>
      <c r="AI36" s="7">
        <v>-9713.24</v>
      </c>
      <c r="AJ36" s="7">
        <v>-35034.83</v>
      </c>
      <c r="AK36" s="7">
        <v>-35034.83</v>
      </c>
      <c r="AL36" s="7">
        <v>-13204.01</v>
      </c>
      <c r="AM36" s="7">
        <v>-13204.01</v>
      </c>
      <c r="AN36" s="7">
        <v>-7146.57</v>
      </c>
      <c r="AO36" s="7">
        <v>-7146.57</v>
      </c>
      <c r="AP36" s="7">
        <v>-10917.91</v>
      </c>
      <c r="AQ36" s="7">
        <v>0</v>
      </c>
      <c r="AR36" s="7">
        <v>-10917.91</v>
      </c>
      <c r="AS36" s="7">
        <v>0</v>
      </c>
      <c r="AT36" s="7">
        <v>-10884.44</v>
      </c>
      <c r="AU36" s="7">
        <v>0</v>
      </c>
      <c r="AV36" s="7">
        <f t="shared" si="0"/>
        <v>-319143.90999999997</v>
      </c>
      <c r="AW36" s="28">
        <f t="shared" si="1"/>
        <v>-286411.31000000006</v>
      </c>
    </row>
    <row r="37" spans="1:49" s="3" customFormat="1" x14ac:dyDescent="0.25">
      <c r="A37" s="34" t="s">
        <v>101</v>
      </c>
      <c r="B37" s="11">
        <v>-132.16999999999999</v>
      </c>
      <c r="C37" s="12">
        <v>-132.16999999999999</v>
      </c>
      <c r="D37" s="11">
        <v>-3897.38</v>
      </c>
      <c r="E37" s="12">
        <v>-3900.21</v>
      </c>
      <c r="F37" s="11">
        <v>-3782.2</v>
      </c>
      <c r="G37" s="12">
        <v>-3782.2</v>
      </c>
      <c r="H37" s="11">
        <v>-3763.53</v>
      </c>
      <c r="I37" s="12">
        <v>-3763.53</v>
      </c>
      <c r="J37" s="11">
        <v>-3585.19</v>
      </c>
      <c r="K37" s="12">
        <v>-3567.4</v>
      </c>
      <c r="L37" s="11">
        <v>-3566.78</v>
      </c>
      <c r="M37" s="12">
        <v>-3566.78</v>
      </c>
      <c r="N37" s="11">
        <v>-3674.62</v>
      </c>
      <c r="O37" s="12">
        <v>-3677.24</v>
      </c>
      <c r="P37" s="11">
        <v>-3379</v>
      </c>
      <c r="Q37" s="12">
        <v>-3379</v>
      </c>
      <c r="R37" s="11">
        <v>-4552.28</v>
      </c>
      <c r="S37" s="12">
        <v>-4552.28</v>
      </c>
      <c r="T37" s="11">
        <v>-4600.9799999999996</v>
      </c>
      <c r="U37" s="12">
        <v>-4600.9799999999996</v>
      </c>
      <c r="V37" s="11">
        <v>-6116.5</v>
      </c>
      <c r="W37" s="12">
        <v>-6116.5</v>
      </c>
      <c r="X37" s="11">
        <v>-4143.3500000000004</v>
      </c>
      <c r="Y37" s="12">
        <v>-4143.3500000000004</v>
      </c>
      <c r="Z37" s="11">
        <v>-4130.78</v>
      </c>
      <c r="AA37" s="12">
        <v>-4130.78</v>
      </c>
      <c r="AB37" s="11">
        <v>-4344.0200000000004</v>
      </c>
      <c r="AC37" s="12">
        <v>-4344.0200000000004</v>
      </c>
      <c r="AD37" s="11">
        <v>-4409.05</v>
      </c>
      <c r="AE37" s="12">
        <v>-4409.05</v>
      </c>
      <c r="AF37" s="11">
        <v>-4433.9799999999996</v>
      </c>
      <c r="AG37" s="12">
        <v>-4433.9799999999996</v>
      </c>
      <c r="AH37" s="11">
        <v>-4359.6000000000004</v>
      </c>
      <c r="AI37" s="12">
        <v>-4359.6000000000004</v>
      </c>
      <c r="AJ37" s="11">
        <v>-4367.6499999999996</v>
      </c>
      <c r="AK37" s="12">
        <v>-4367.6499999999996</v>
      </c>
      <c r="AL37" s="11">
        <v>-4411.72</v>
      </c>
      <c r="AM37" s="12">
        <v>-4411.72</v>
      </c>
      <c r="AN37" s="11">
        <v>-4316.51</v>
      </c>
      <c r="AO37" s="12">
        <v>-4316.51</v>
      </c>
      <c r="AP37" s="11">
        <v>-4281.75</v>
      </c>
      <c r="AQ37" s="12">
        <v>0</v>
      </c>
      <c r="AR37" s="11">
        <v>-4281.75</v>
      </c>
      <c r="AS37" s="12">
        <v>0</v>
      </c>
      <c r="AT37" s="11">
        <v>-4281.75</v>
      </c>
      <c r="AU37" s="12">
        <v>0</v>
      </c>
      <c r="AV37" s="11">
        <f t="shared" si="0"/>
        <v>-92812.54</v>
      </c>
      <c r="AW37" s="35">
        <f t="shared" si="1"/>
        <v>-79954.949999999983</v>
      </c>
    </row>
    <row r="38" spans="1:49" x14ac:dyDescent="0.25">
      <c r="A38" s="29" t="s">
        <v>49</v>
      </c>
      <c r="B38" s="8">
        <v>0</v>
      </c>
      <c r="C38" s="9">
        <v>0</v>
      </c>
      <c r="D38" s="8">
        <v>-500</v>
      </c>
      <c r="E38" s="9">
        <v>-500</v>
      </c>
      <c r="F38" s="8">
        <v>-500</v>
      </c>
      <c r="G38" s="9">
        <v>-500</v>
      </c>
      <c r="H38" s="8">
        <v>-500</v>
      </c>
      <c r="I38" s="9">
        <v>-500</v>
      </c>
      <c r="J38" s="8">
        <v>-500</v>
      </c>
      <c r="K38" s="9">
        <v>-500</v>
      </c>
      <c r="L38" s="8">
        <v>-500</v>
      </c>
      <c r="M38" s="9">
        <v>-500</v>
      </c>
      <c r="N38" s="8">
        <v>-500</v>
      </c>
      <c r="O38" s="9">
        <v>-500</v>
      </c>
      <c r="P38" s="8">
        <v>-500</v>
      </c>
      <c r="Q38" s="9">
        <v>-500</v>
      </c>
      <c r="R38" s="8">
        <v>-900</v>
      </c>
      <c r="S38" s="9">
        <v>-900</v>
      </c>
      <c r="T38" s="8">
        <v>-900</v>
      </c>
      <c r="U38" s="9">
        <v>-900</v>
      </c>
      <c r="V38" s="8">
        <v>-900</v>
      </c>
      <c r="W38" s="9">
        <v>-900</v>
      </c>
      <c r="X38" s="8">
        <v>-900</v>
      </c>
      <c r="Y38" s="9">
        <v>-900</v>
      </c>
      <c r="Z38" s="8">
        <v>-900</v>
      </c>
      <c r="AA38" s="9">
        <v>-900</v>
      </c>
      <c r="AB38" s="8">
        <v>-1100</v>
      </c>
      <c r="AC38" s="9">
        <v>-1100</v>
      </c>
      <c r="AD38" s="8">
        <v>-1100</v>
      </c>
      <c r="AE38" s="9">
        <v>-1100</v>
      </c>
      <c r="AF38" s="8">
        <v>-1100</v>
      </c>
      <c r="AG38" s="9">
        <v>-1100</v>
      </c>
      <c r="AH38" s="8">
        <v>-1100</v>
      </c>
      <c r="AI38" s="9">
        <v>-1100</v>
      </c>
      <c r="AJ38" s="8">
        <v>-1100</v>
      </c>
      <c r="AK38" s="9">
        <v>-1100</v>
      </c>
      <c r="AL38" s="8">
        <v>-1100</v>
      </c>
      <c r="AM38" s="9">
        <v>-1100</v>
      </c>
      <c r="AN38" s="8">
        <v>-1100</v>
      </c>
      <c r="AO38" s="9">
        <v>-1100</v>
      </c>
      <c r="AP38" s="8">
        <v>-1100</v>
      </c>
      <c r="AQ38" s="9">
        <v>0</v>
      </c>
      <c r="AR38" s="8">
        <v>-1100</v>
      </c>
      <c r="AS38" s="9">
        <v>0</v>
      </c>
      <c r="AT38" s="8">
        <v>-1100</v>
      </c>
      <c r="AU38" s="9">
        <v>0</v>
      </c>
      <c r="AV38" s="8">
        <f t="shared" si="0"/>
        <v>-19000</v>
      </c>
      <c r="AW38" s="30">
        <f t="shared" si="1"/>
        <v>-15700</v>
      </c>
    </row>
    <row r="39" spans="1:49" x14ac:dyDescent="0.25">
      <c r="A39" s="29" t="s">
        <v>50</v>
      </c>
      <c r="B39" s="8">
        <v>0</v>
      </c>
      <c r="C39" s="9">
        <v>0</v>
      </c>
      <c r="D39" s="8">
        <v>-1350</v>
      </c>
      <c r="E39" s="9">
        <v>-1350</v>
      </c>
      <c r="F39" s="8">
        <v>-1350</v>
      </c>
      <c r="G39" s="9">
        <v>-1350</v>
      </c>
      <c r="H39" s="8">
        <v>-1350</v>
      </c>
      <c r="I39" s="9">
        <v>-1350</v>
      </c>
      <c r="J39" s="8">
        <v>-1350</v>
      </c>
      <c r="K39" s="9">
        <v>-1350</v>
      </c>
      <c r="L39" s="8">
        <v>-1350</v>
      </c>
      <c r="M39" s="9">
        <v>-1350</v>
      </c>
      <c r="N39" s="8">
        <v>-1350</v>
      </c>
      <c r="O39" s="9">
        <v>-1350</v>
      </c>
      <c r="P39" s="8">
        <v>-1350</v>
      </c>
      <c r="Q39" s="9">
        <v>-1350</v>
      </c>
      <c r="R39" s="8">
        <v>-1350</v>
      </c>
      <c r="S39" s="9">
        <v>-1350</v>
      </c>
      <c r="T39" s="8">
        <v>-1350</v>
      </c>
      <c r="U39" s="9">
        <v>-1350</v>
      </c>
      <c r="V39" s="8">
        <v>-2587.5</v>
      </c>
      <c r="W39" s="9">
        <v>-2587.5</v>
      </c>
      <c r="X39" s="8">
        <v>-1350</v>
      </c>
      <c r="Y39" s="9">
        <v>-1350</v>
      </c>
      <c r="Z39" s="8">
        <v>-1350</v>
      </c>
      <c r="AA39" s="9">
        <v>-1350</v>
      </c>
      <c r="AB39" s="8">
        <v>-1350</v>
      </c>
      <c r="AC39" s="9">
        <v>-1350</v>
      </c>
      <c r="AD39" s="8">
        <v>-1350</v>
      </c>
      <c r="AE39" s="9">
        <v>-1350</v>
      </c>
      <c r="AF39" s="8">
        <v>-1350</v>
      </c>
      <c r="AG39" s="9">
        <v>-1350</v>
      </c>
      <c r="AH39" s="8">
        <v>-1350</v>
      </c>
      <c r="AI39" s="9">
        <v>-1350</v>
      </c>
      <c r="AJ39" s="8">
        <v>-1350</v>
      </c>
      <c r="AK39" s="9">
        <v>-1350</v>
      </c>
      <c r="AL39" s="8">
        <v>-1350</v>
      </c>
      <c r="AM39" s="9">
        <v>-1350</v>
      </c>
      <c r="AN39" s="8">
        <v>-1350</v>
      </c>
      <c r="AO39" s="9">
        <v>-1350</v>
      </c>
      <c r="AP39" s="8">
        <v>-1350</v>
      </c>
      <c r="AQ39" s="9">
        <v>0</v>
      </c>
      <c r="AR39" s="8">
        <v>-1350</v>
      </c>
      <c r="AS39" s="9">
        <v>0</v>
      </c>
      <c r="AT39" s="8">
        <v>-1350</v>
      </c>
      <c r="AU39" s="9">
        <v>0</v>
      </c>
      <c r="AV39" s="8">
        <f t="shared" si="0"/>
        <v>-30937.5</v>
      </c>
      <c r="AW39" s="30">
        <f t="shared" si="1"/>
        <v>-26887.5</v>
      </c>
    </row>
    <row r="40" spans="1:49" x14ac:dyDescent="0.25">
      <c r="A40" s="29" t="s">
        <v>51</v>
      </c>
      <c r="B40" s="8">
        <v>0</v>
      </c>
      <c r="C40" s="9">
        <v>0</v>
      </c>
      <c r="D40" s="8">
        <v>-611.24</v>
      </c>
      <c r="E40" s="9">
        <v>-611.24</v>
      </c>
      <c r="F40" s="8">
        <v>-403.2</v>
      </c>
      <c r="G40" s="9">
        <v>-403.2</v>
      </c>
      <c r="H40" s="8">
        <v>-384.53</v>
      </c>
      <c r="I40" s="9">
        <v>-384.53</v>
      </c>
      <c r="J40" s="8">
        <v>-206.19</v>
      </c>
      <c r="K40" s="9">
        <v>-206.19</v>
      </c>
      <c r="L40" s="8">
        <v>-187.78</v>
      </c>
      <c r="M40" s="9">
        <v>-187.78</v>
      </c>
      <c r="N40" s="8">
        <v>-295.62</v>
      </c>
      <c r="O40" s="9">
        <v>-295.62</v>
      </c>
      <c r="P40" s="8">
        <v>0</v>
      </c>
      <c r="Q40" s="9">
        <v>0</v>
      </c>
      <c r="R40" s="8">
        <v>-773.28</v>
      </c>
      <c r="S40" s="9">
        <v>-773.28</v>
      </c>
      <c r="T40" s="8">
        <v>-821.98</v>
      </c>
      <c r="U40" s="9">
        <v>-821.98</v>
      </c>
      <c r="V40" s="8">
        <v>0</v>
      </c>
      <c r="W40" s="9">
        <v>0</v>
      </c>
      <c r="X40" s="8">
        <v>-361.04</v>
      </c>
      <c r="Y40" s="9">
        <v>-361.04</v>
      </c>
      <c r="Z40" s="8">
        <v>-349.03</v>
      </c>
      <c r="AA40" s="9">
        <v>-349.03</v>
      </c>
      <c r="AB40" s="8">
        <v>-352.27</v>
      </c>
      <c r="AC40" s="9">
        <v>-352.27</v>
      </c>
      <c r="AD40" s="8">
        <v>-417.26</v>
      </c>
      <c r="AE40" s="9">
        <v>-417.26</v>
      </c>
      <c r="AF40" s="8">
        <v>-444.98</v>
      </c>
      <c r="AG40" s="9">
        <v>-444.98</v>
      </c>
      <c r="AH40" s="8">
        <v>-499.6</v>
      </c>
      <c r="AI40" s="9">
        <v>-499.6</v>
      </c>
      <c r="AJ40" s="8">
        <v>-375.86</v>
      </c>
      <c r="AK40" s="9">
        <v>-375.86</v>
      </c>
      <c r="AL40" s="8">
        <v>-420.1</v>
      </c>
      <c r="AM40" s="9">
        <v>-420.1</v>
      </c>
      <c r="AN40" s="8">
        <v>-327.51</v>
      </c>
      <c r="AO40" s="9">
        <v>-327.51</v>
      </c>
      <c r="AP40" s="8">
        <v>-300</v>
      </c>
      <c r="AQ40" s="9">
        <v>0</v>
      </c>
      <c r="AR40" s="8">
        <v>-300</v>
      </c>
      <c r="AS40" s="9">
        <v>0</v>
      </c>
      <c r="AT40" s="8">
        <v>-300</v>
      </c>
      <c r="AU40" s="9">
        <v>0</v>
      </c>
      <c r="AV40" s="8">
        <f t="shared" si="0"/>
        <v>-8131.47</v>
      </c>
      <c r="AW40" s="30">
        <f t="shared" si="1"/>
        <v>-7231.47</v>
      </c>
    </row>
    <row r="41" spans="1:49" x14ac:dyDescent="0.25">
      <c r="A41" s="29" t="s">
        <v>52</v>
      </c>
      <c r="B41" s="8">
        <v>0</v>
      </c>
      <c r="C41" s="9">
        <v>0</v>
      </c>
      <c r="D41" s="8">
        <v>-1200</v>
      </c>
      <c r="E41" s="9">
        <v>-1200</v>
      </c>
      <c r="F41" s="8">
        <v>-1200</v>
      </c>
      <c r="G41" s="9">
        <v>-1200</v>
      </c>
      <c r="H41" s="8">
        <v>-1200</v>
      </c>
      <c r="I41" s="9">
        <v>-1200</v>
      </c>
      <c r="J41" s="8">
        <v>-1200</v>
      </c>
      <c r="K41" s="9">
        <v>-1184.75</v>
      </c>
      <c r="L41" s="8">
        <v>-1200</v>
      </c>
      <c r="M41" s="9">
        <v>-1200</v>
      </c>
      <c r="N41" s="8">
        <v>-1200</v>
      </c>
      <c r="O41" s="9">
        <v>-1200</v>
      </c>
      <c r="P41" s="8">
        <v>-1200</v>
      </c>
      <c r="Q41" s="9">
        <v>-1200</v>
      </c>
      <c r="R41" s="8">
        <v>-1200</v>
      </c>
      <c r="S41" s="9">
        <v>-1200</v>
      </c>
      <c r="T41" s="8">
        <v>-1200</v>
      </c>
      <c r="U41" s="9">
        <v>-1200</v>
      </c>
      <c r="V41" s="8">
        <v>-2300</v>
      </c>
      <c r="W41" s="9">
        <v>-2300</v>
      </c>
      <c r="X41" s="8">
        <v>-1200</v>
      </c>
      <c r="Y41" s="9">
        <v>-1200</v>
      </c>
      <c r="Z41" s="8">
        <v>-1200</v>
      </c>
      <c r="AA41" s="9">
        <v>-1200</v>
      </c>
      <c r="AB41" s="8">
        <v>-1200</v>
      </c>
      <c r="AC41" s="9">
        <v>-1200</v>
      </c>
      <c r="AD41" s="8">
        <v>-1200</v>
      </c>
      <c r="AE41" s="9">
        <v>-1200</v>
      </c>
      <c r="AF41" s="8">
        <v>-1200</v>
      </c>
      <c r="AG41" s="9">
        <v>-1200</v>
      </c>
      <c r="AH41" s="8">
        <v>-1200</v>
      </c>
      <c r="AI41" s="9">
        <v>-1200</v>
      </c>
      <c r="AJ41" s="8">
        <v>-1200</v>
      </c>
      <c r="AK41" s="9">
        <v>-1200</v>
      </c>
      <c r="AL41" s="8">
        <v>-1200</v>
      </c>
      <c r="AM41" s="9">
        <v>-1200</v>
      </c>
      <c r="AN41" s="8">
        <v>-1200</v>
      </c>
      <c r="AO41" s="9">
        <v>-1200</v>
      </c>
      <c r="AP41" s="8">
        <v>-1200</v>
      </c>
      <c r="AQ41" s="9">
        <v>0</v>
      </c>
      <c r="AR41" s="8">
        <v>-1200</v>
      </c>
      <c r="AS41" s="9">
        <v>0</v>
      </c>
      <c r="AT41" s="8">
        <v>-1200</v>
      </c>
      <c r="AU41" s="9">
        <v>0</v>
      </c>
      <c r="AV41" s="8">
        <f t="shared" si="0"/>
        <v>-27500</v>
      </c>
      <c r="AW41" s="30">
        <f t="shared" si="1"/>
        <v>-23884.75</v>
      </c>
    </row>
    <row r="42" spans="1:49" x14ac:dyDescent="0.25">
      <c r="A42" s="29" t="s">
        <v>53</v>
      </c>
      <c r="B42" s="8">
        <v>0</v>
      </c>
      <c r="C42" s="9">
        <v>0</v>
      </c>
      <c r="D42" s="8">
        <v>-107.14</v>
      </c>
      <c r="E42" s="9">
        <v>-107.14</v>
      </c>
      <c r="F42" s="8">
        <v>-200</v>
      </c>
      <c r="G42" s="9">
        <v>-200</v>
      </c>
      <c r="H42" s="8">
        <v>-200</v>
      </c>
      <c r="I42" s="9">
        <v>-200</v>
      </c>
      <c r="J42" s="8">
        <v>-200</v>
      </c>
      <c r="K42" s="9">
        <v>-197.46</v>
      </c>
      <c r="L42" s="8">
        <v>-200</v>
      </c>
      <c r="M42" s="9">
        <v>-200</v>
      </c>
      <c r="N42" s="8">
        <v>-200</v>
      </c>
      <c r="O42" s="9">
        <v>-200</v>
      </c>
      <c r="P42" s="8">
        <v>-200</v>
      </c>
      <c r="Q42" s="9">
        <v>-200</v>
      </c>
      <c r="R42" s="8">
        <v>-200</v>
      </c>
      <c r="S42" s="9">
        <v>-200</v>
      </c>
      <c r="T42" s="8">
        <v>-200</v>
      </c>
      <c r="U42" s="9">
        <v>-200</v>
      </c>
      <c r="V42" s="8">
        <v>-200</v>
      </c>
      <c r="W42" s="9">
        <v>-200</v>
      </c>
      <c r="X42" s="8">
        <v>-200</v>
      </c>
      <c r="Y42" s="9">
        <v>-200</v>
      </c>
      <c r="Z42" s="8">
        <v>-200</v>
      </c>
      <c r="AA42" s="9">
        <v>-200</v>
      </c>
      <c r="AB42" s="8">
        <v>-210</v>
      </c>
      <c r="AC42" s="9">
        <v>-210</v>
      </c>
      <c r="AD42" s="8">
        <v>-210</v>
      </c>
      <c r="AE42" s="9">
        <v>-210</v>
      </c>
      <c r="AF42" s="8">
        <v>-210</v>
      </c>
      <c r="AG42" s="9">
        <v>-210</v>
      </c>
      <c r="AH42" s="8">
        <v>-210</v>
      </c>
      <c r="AI42" s="9">
        <v>-210</v>
      </c>
      <c r="AJ42" s="8">
        <v>-210</v>
      </c>
      <c r="AK42" s="9">
        <v>-210</v>
      </c>
      <c r="AL42" s="8">
        <v>-210</v>
      </c>
      <c r="AM42" s="9">
        <v>-210</v>
      </c>
      <c r="AN42" s="8">
        <v>-210</v>
      </c>
      <c r="AO42" s="9">
        <v>-210</v>
      </c>
      <c r="AP42" s="8">
        <v>-200</v>
      </c>
      <c r="AQ42" s="9">
        <v>0</v>
      </c>
      <c r="AR42" s="8">
        <v>-200</v>
      </c>
      <c r="AS42" s="9">
        <v>0</v>
      </c>
      <c r="AT42" s="8">
        <v>-200</v>
      </c>
      <c r="AU42" s="9">
        <v>0</v>
      </c>
      <c r="AV42" s="8">
        <f t="shared" si="0"/>
        <v>-4377.1399999999994</v>
      </c>
      <c r="AW42" s="30">
        <f t="shared" si="1"/>
        <v>-3774.6</v>
      </c>
    </row>
    <row r="43" spans="1:49" x14ac:dyDescent="0.25">
      <c r="A43" s="29" t="s">
        <v>54</v>
      </c>
      <c r="B43" s="8">
        <v>-132.16999999999999</v>
      </c>
      <c r="C43" s="9">
        <v>-132.16999999999999</v>
      </c>
      <c r="D43" s="8">
        <v>-129</v>
      </c>
      <c r="E43" s="9">
        <v>-131.83000000000001</v>
      </c>
      <c r="F43" s="8">
        <v>-129</v>
      </c>
      <c r="G43" s="9">
        <v>-129</v>
      </c>
      <c r="H43" s="8">
        <v>-129</v>
      </c>
      <c r="I43" s="9">
        <v>-129</v>
      </c>
      <c r="J43" s="8">
        <v>-129</v>
      </c>
      <c r="K43" s="9">
        <v>-129</v>
      </c>
      <c r="L43" s="8">
        <v>-129</v>
      </c>
      <c r="M43" s="9">
        <v>-129</v>
      </c>
      <c r="N43" s="8">
        <v>-129</v>
      </c>
      <c r="O43" s="9">
        <v>-131.62</v>
      </c>
      <c r="P43" s="8">
        <v>-129</v>
      </c>
      <c r="Q43" s="9">
        <v>-129</v>
      </c>
      <c r="R43" s="8">
        <v>-129</v>
      </c>
      <c r="S43" s="9">
        <v>-129</v>
      </c>
      <c r="T43" s="8">
        <v>-129</v>
      </c>
      <c r="U43" s="9">
        <v>-129</v>
      </c>
      <c r="V43" s="8">
        <v>-129</v>
      </c>
      <c r="W43" s="9">
        <v>-129</v>
      </c>
      <c r="X43" s="8">
        <v>-132.31</v>
      </c>
      <c r="Y43" s="9">
        <v>-132.31</v>
      </c>
      <c r="Z43" s="8">
        <v>-131.75</v>
      </c>
      <c r="AA43" s="9">
        <v>-131.75</v>
      </c>
      <c r="AB43" s="8">
        <v>-131.75</v>
      </c>
      <c r="AC43" s="9">
        <v>-131.75</v>
      </c>
      <c r="AD43" s="8">
        <v>-131.79</v>
      </c>
      <c r="AE43" s="9">
        <v>-131.79</v>
      </c>
      <c r="AF43" s="8">
        <v>-129</v>
      </c>
      <c r="AG43" s="9">
        <v>-129</v>
      </c>
      <c r="AH43" s="8">
        <v>0</v>
      </c>
      <c r="AI43" s="9">
        <v>0</v>
      </c>
      <c r="AJ43" s="8">
        <v>-131.79</v>
      </c>
      <c r="AK43" s="9">
        <v>-131.79</v>
      </c>
      <c r="AL43" s="8">
        <v>-131.62</v>
      </c>
      <c r="AM43" s="9">
        <v>-131.62</v>
      </c>
      <c r="AN43" s="8">
        <v>-129</v>
      </c>
      <c r="AO43" s="9">
        <v>-129</v>
      </c>
      <c r="AP43" s="8">
        <v>-131.75</v>
      </c>
      <c r="AQ43" s="9">
        <v>0</v>
      </c>
      <c r="AR43" s="8">
        <v>-131.75</v>
      </c>
      <c r="AS43" s="9">
        <v>0</v>
      </c>
      <c r="AT43" s="8">
        <v>-131.75</v>
      </c>
      <c r="AU43" s="9">
        <v>0</v>
      </c>
      <c r="AV43" s="8">
        <f t="shared" si="0"/>
        <v>-2866.43</v>
      </c>
      <c r="AW43" s="30">
        <f t="shared" si="1"/>
        <v>-2476.6299999999997</v>
      </c>
    </row>
    <row r="44" spans="1:49" s="3" customFormat="1" x14ac:dyDescent="0.25">
      <c r="A44" s="34" t="s">
        <v>102</v>
      </c>
      <c r="B44" s="11">
        <v>0</v>
      </c>
      <c r="C44" s="12">
        <v>0</v>
      </c>
      <c r="D44" s="11">
        <v>0</v>
      </c>
      <c r="E44" s="12">
        <v>0</v>
      </c>
      <c r="F44" s="11">
        <v>-1868.8</v>
      </c>
      <c r="G44" s="12">
        <v>-1868.8</v>
      </c>
      <c r="H44" s="11">
        <v>-1608</v>
      </c>
      <c r="I44" s="12">
        <v>-1608</v>
      </c>
      <c r="J44" s="11">
        <v>-1832.89</v>
      </c>
      <c r="K44" s="12">
        <v>-1832.89</v>
      </c>
      <c r="L44" s="11">
        <v>-17942.09</v>
      </c>
      <c r="M44" s="12">
        <v>-17942.09</v>
      </c>
      <c r="N44" s="11">
        <v>-1792</v>
      </c>
      <c r="O44" s="12">
        <v>-1792</v>
      </c>
      <c r="P44" s="11">
        <v>-1547.68</v>
      </c>
      <c r="Q44" s="12">
        <v>-1547.68</v>
      </c>
      <c r="R44" s="11">
        <v>-1547.67</v>
      </c>
      <c r="S44" s="12">
        <v>-1547.67</v>
      </c>
      <c r="T44" s="11">
        <v>-4018</v>
      </c>
      <c r="U44" s="12">
        <v>-4018</v>
      </c>
      <c r="V44" s="11">
        <v>-1518</v>
      </c>
      <c r="W44" s="12">
        <v>-1518</v>
      </c>
      <c r="X44" s="11">
        <v>-1957.6</v>
      </c>
      <c r="Y44" s="12">
        <v>-1957.6</v>
      </c>
      <c r="Z44" s="11">
        <v>-27231.98</v>
      </c>
      <c r="AA44" s="12">
        <v>-27231.98</v>
      </c>
      <c r="AB44" s="11">
        <v>-10107.36</v>
      </c>
      <c r="AC44" s="12">
        <v>-10107.36</v>
      </c>
      <c r="AD44" s="11">
        <v>-18322.939999999999</v>
      </c>
      <c r="AE44" s="12">
        <v>-18322.939999999999</v>
      </c>
      <c r="AF44" s="11">
        <v>-26032.46</v>
      </c>
      <c r="AG44" s="12">
        <v>-26032.46</v>
      </c>
      <c r="AH44" s="11">
        <v>-2948.5</v>
      </c>
      <c r="AI44" s="12">
        <v>-2948.5</v>
      </c>
      <c r="AJ44" s="11">
        <v>-26691.85</v>
      </c>
      <c r="AK44" s="12">
        <v>-26691.85</v>
      </c>
      <c r="AL44" s="11">
        <v>-6785.63</v>
      </c>
      <c r="AM44" s="12">
        <v>-6785.63</v>
      </c>
      <c r="AN44" s="11">
        <v>-1654.47</v>
      </c>
      <c r="AO44" s="12">
        <v>-1654.47</v>
      </c>
      <c r="AP44" s="11">
        <v>-6636.16</v>
      </c>
      <c r="AQ44" s="12">
        <v>0</v>
      </c>
      <c r="AR44" s="11">
        <v>-6636.16</v>
      </c>
      <c r="AS44" s="12">
        <v>0</v>
      </c>
      <c r="AT44" s="11">
        <v>-6602.69</v>
      </c>
      <c r="AU44" s="12">
        <v>0</v>
      </c>
      <c r="AV44" s="11">
        <f t="shared" si="0"/>
        <v>-175282.93000000002</v>
      </c>
      <c r="AW44" s="35">
        <f t="shared" si="1"/>
        <v>-155407.92000000001</v>
      </c>
    </row>
    <row r="45" spans="1:49" x14ac:dyDescent="0.25">
      <c r="A45" s="29" t="s">
        <v>55</v>
      </c>
      <c r="B45" s="8">
        <v>0</v>
      </c>
      <c r="C45" s="9">
        <v>0</v>
      </c>
      <c r="D45" s="8">
        <v>0</v>
      </c>
      <c r="E45" s="9">
        <v>0</v>
      </c>
      <c r="F45" s="8">
        <v>-277.89999999999998</v>
      </c>
      <c r="G45" s="9">
        <v>-277.89999999999998</v>
      </c>
      <c r="H45" s="8">
        <v>0</v>
      </c>
      <c r="I45" s="9">
        <v>0</v>
      </c>
      <c r="J45" s="8">
        <v>-224.9</v>
      </c>
      <c r="K45" s="9">
        <v>-224.9</v>
      </c>
      <c r="L45" s="8">
        <v>0</v>
      </c>
      <c r="M45" s="9">
        <v>0</v>
      </c>
      <c r="N45" s="8">
        <v>-274</v>
      </c>
      <c r="O45" s="9">
        <v>-274</v>
      </c>
      <c r="P45" s="8">
        <v>-29.68</v>
      </c>
      <c r="Q45" s="9">
        <v>-29.68</v>
      </c>
      <c r="R45" s="8">
        <v>-29.67</v>
      </c>
      <c r="S45" s="9">
        <v>-29.67</v>
      </c>
      <c r="T45" s="8">
        <v>-2500</v>
      </c>
      <c r="U45" s="9">
        <v>-2500</v>
      </c>
      <c r="V45" s="8">
        <v>0</v>
      </c>
      <c r="W45" s="9">
        <v>0</v>
      </c>
      <c r="X45" s="8">
        <v>-439.6</v>
      </c>
      <c r="Y45" s="9">
        <v>-439.6</v>
      </c>
      <c r="Z45" s="8">
        <v>-49.04</v>
      </c>
      <c r="AA45" s="9">
        <v>-49.04</v>
      </c>
      <c r="AB45" s="8">
        <v>-49.03</v>
      </c>
      <c r="AC45" s="9">
        <v>-49.03</v>
      </c>
      <c r="AD45" s="8">
        <v>-197.08</v>
      </c>
      <c r="AE45" s="9">
        <v>-197.08</v>
      </c>
      <c r="AF45" s="8">
        <v>0</v>
      </c>
      <c r="AG45" s="9">
        <v>0</v>
      </c>
      <c r="AH45" s="8">
        <v>-200</v>
      </c>
      <c r="AI45" s="9">
        <v>-200</v>
      </c>
      <c r="AJ45" s="8">
        <v>-727.2</v>
      </c>
      <c r="AK45" s="9">
        <v>-727.2</v>
      </c>
      <c r="AL45" s="8">
        <v>-663.18</v>
      </c>
      <c r="AM45" s="9">
        <v>-663.18</v>
      </c>
      <c r="AN45" s="8">
        <v>-33.47</v>
      </c>
      <c r="AO45" s="9">
        <v>-33.47</v>
      </c>
      <c r="AP45" s="8">
        <v>-33.47</v>
      </c>
      <c r="AQ45" s="9">
        <v>0</v>
      </c>
      <c r="AR45" s="8">
        <v>-33.47</v>
      </c>
      <c r="AS45" s="9">
        <v>0</v>
      </c>
      <c r="AT45" s="8">
        <v>0</v>
      </c>
      <c r="AU45" s="9">
        <v>0</v>
      </c>
      <c r="AV45" s="8">
        <f t="shared" si="0"/>
        <v>-5761.6900000000005</v>
      </c>
      <c r="AW45" s="30">
        <f t="shared" si="1"/>
        <v>-5694.75</v>
      </c>
    </row>
    <row r="46" spans="1:49" x14ac:dyDescent="0.25">
      <c r="A46" s="29" t="s">
        <v>56</v>
      </c>
      <c r="B46" s="8">
        <v>0</v>
      </c>
      <c r="C46" s="9">
        <v>0</v>
      </c>
      <c r="D46" s="8">
        <v>0</v>
      </c>
      <c r="E46" s="9">
        <v>0</v>
      </c>
      <c r="F46" s="8">
        <v>0</v>
      </c>
      <c r="G46" s="9">
        <v>0</v>
      </c>
      <c r="H46" s="8">
        <v>0</v>
      </c>
      <c r="I46" s="9">
        <v>0</v>
      </c>
      <c r="J46" s="8">
        <v>0</v>
      </c>
      <c r="K46" s="9">
        <v>0</v>
      </c>
      <c r="L46" s="8">
        <v>-16424.09</v>
      </c>
      <c r="M46" s="9">
        <v>-16424.09</v>
      </c>
      <c r="N46" s="8">
        <v>0</v>
      </c>
      <c r="O46" s="9">
        <v>0</v>
      </c>
      <c r="P46" s="8">
        <v>0</v>
      </c>
      <c r="Q46" s="9">
        <v>0</v>
      </c>
      <c r="R46" s="8">
        <v>0</v>
      </c>
      <c r="S46" s="9">
        <v>0</v>
      </c>
      <c r="T46" s="8">
        <v>0</v>
      </c>
      <c r="U46" s="9">
        <v>0</v>
      </c>
      <c r="V46" s="8">
        <v>0</v>
      </c>
      <c r="W46" s="9">
        <v>0</v>
      </c>
      <c r="X46" s="8">
        <v>0</v>
      </c>
      <c r="Y46" s="9">
        <v>0</v>
      </c>
      <c r="Z46" s="8">
        <v>-25653.61</v>
      </c>
      <c r="AA46" s="9">
        <v>-25653.61</v>
      </c>
      <c r="AB46" s="8">
        <v>-8529</v>
      </c>
      <c r="AC46" s="9">
        <v>-8529</v>
      </c>
      <c r="AD46" s="8">
        <v>-16504.86</v>
      </c>
      <c r="AE46" s="9">
        <v>-16504.86</v>
      </c>
      <c r="AF46" s="8">
        <v>-24411.46</v>
      </c>
      <c r="AG46" s="9">
        <v>-24411.46</v>
      </c>
      <c r="AH46" s="8">
        <v>-1127.5</v>
      </c>
      <c r="AI46" s="9">
        <v>-1127.5</v>
      </c>
      <c r="AJ46" s="8">
        <v>-24343.65</v>
      </c>
      <c r="AK46" s="9">
        <v>-24343.65</v>
      </c>
      <c r="AL46" s="8">
        <v>-4501.45</v>
      </c>
      <c r="AM46" s="9">
        <v>-4501.45</v>
      </c>
      <c r="AN46" s="8">
        <v>0</v>
      </c>
      <c r="AO46" s="9">
        <v>0</v>
      </c>
      <c r="AP46" s="8">
        <v>-5000</v>
      </c>
      <c r="AQ46" s="9">
        <v>0</v>
      </c>
      <c r="AR46" s="8">
        <v>-5000</v>
      </c>
      <c r="AS46" s="9">
        <v>0</v>
      </c>
      <c r="AT46" s="8">
        <v>-5000</v>
      </c>
      <c r="AU46" s="9">
        <v>0</v>
      </c>
      <c r="AV46" s="8">
        <f t="shared" si="0"/>
        <v>-136495.62</v>
      </c>
      <c r="AW46" s="30">
        <f t="shared" si="1"/>
        <v>-121495.61999999998</v>
      </c>
    </row>
    <row r="47" spans="1:49" x14ac:dyDescent="0.25">
      <c r="A47" s="29" t="s">
        <v>57</v>
      </c>
      <c r="B47" s="8">
        <v>0</v>
      </c>
      <c r="C47" s="9">
        <v>0</v>
      </c>
      <c r="D47" s="8">
        <v>0</v>
      </c>
      <c r="E47" s="9">
        <v>0</v>
      </c>
      <c r="F47" s="8">
        <v>-166.98</v>
      </c>
      <c r="G47" s="9">
        <v>-166.98</v>
      </c>
      <c r="H47" s="8">
        <v>-166.98</v>
      </c>
      <c r="I47" s="9">
        <v>-166.98</v>
      </c>
      <c r="J47" s="8">
        <v>-166.98</v>
      </c>
      <c r="K47" s="9">
        <v>-166.98</v>
      </c>
      <c r="L47" s="8">
        <v>-166.98</v>
      </c>
      <c r="M47" s="9">
        <v>-166.98</v>
      </c>
      <c r="N47" s="8">
        <v>-166.98</v>
      </c>
      <c r="O47" s="9">
        <v>-166.98</v>
      </c>
      <c r="P47" s="8">
        <v>-166.98</v>
      </c>
      <c r="Q47" s="9">
        <v>-166.98</v>
      </c>
      <c r="R47" s="8">
        <v>-166.98</v>
      </c>
      <c r="S47" s="9">
        <v>-166.98</v>
      </c>
      <c r="T47" s="8">
        <v>-166.98</v>
      </c>
      <c r="U47" s="9">
        <v>-166.98</v>
      </c>
      <c r="V47" s="8">
        <v>-166.98</v>
      </c>
      <c r="W47" s="9">
        <v>-166.98</v>
      </c>
      <c r="X47" s="8">
        <v>-166.98</v>
      </c>
      <c r="Y47" s="9">
        <v>-166.98</v>
      </c>
      <c r="Z47" s="8">
        <v>-178.31</v>
      </c>
      <c r="AA47" s="9">
        <v>-178.31</v>
      </c>
      <c r="AB47" s="8">
        <v>-178.31</v>
      </c>
      <c r="AC47" s="9">
        <v>-178.31</v>
      </c>
      <c r="AD47" s="8">
        <v>-178.31</v>
      </c>
      <c r="AE47" s="9">
        <v>-178.31</v>
      </c>
      <c r="AF47" s="8">
        <v>-178.31</v>
      </c>
      <c r="AG47" s="9">
        <v>-178.31</v>
      </c>
      <c r="AH47" s="8">
        <v>-178.31</v>
      </c>
      <c r="AI47" s="9">
        <v>-178.31</v>
      </c>
      <c r="AJ47" s="8">
        <v>-178.31</v>
      </c>
      <c r="AK47" s="9">
        <v>-178.31</v>
      </c>
      <c r="AL47" s="8">
        <v>-178.31</v>
      </c>
      <c r="AM47" s="9">
        <v>-178.31</v>
      </c>
      <c r="AN47" s="8">
        <v>-178.31</v>
      </c>
      <c r="AO47" s="9">
        <v>-178.31</v>
      </c>
      <c r="AP47" s="8">
        <v>-160</v>
      </c>
      <c r="AQ47" s="9">
        <v>0</v>
      </c>
      <c r="AR47" s="8">
        <v>-160</v>
      </c>
      <c r="AS47" s="9">
        <v>0</v>
      </c>
      <c r="AT47" s="8">
        <v>-160</v>
      </c>
      <c r="AU47" s="9">
        <v>0</v>
      </c>
      <c r="AV47" s="8">
        <f t="shared" si="0"/>
        <v>-3576.2799999999997</v>
      </c>
      <c r="AW47" s="30">
        <f t="shared" si="1"/>
        <v>-3096.2799999999997</v>
      </c>
    </row>
    <row r="48" spans="1:49" x14ac:dyDescent="0.25">
      <c r="A48" s="29" t="s">
        <v>58</v>
      </c>
      <c r="B48" s="8">
        <v>0</v>
      </c>
      <c r="C48" s="9">
        <v>0</v>
      </c>
      <c r="D48" s="8">
        <v>0</v>
      </c>
      <c r="E48" s="9">
        <v>0</v>
      </c>
      <c r="F48" s="8">
        <v>-1351.02</v>
      </c>
      <c r="G48" s="9">
        <v>-1351.02</v>
      </c>
      <c r="H48" s="8">
        <v>-1351.02</v>
      </c>
      <c r="I48" s="9">
        <v>-1351.02</v>
      </c>
      <c r="J48" s="8">
        <v>-1351.02</v>
      </c>
      <c r="K48" s="9">
        <v>-1351.02</v>
      </c>
      <c r="L48" s="8">
        <v>-1351.02</v>
      </c>
      <c r="M48" s="9">
        <v>-1351.02</v>
      </c>
      <c r="N48" s="8">
        <v>-1351.02</v>
      </c>
      <c r="O48" s="9">
        <v>-1351.02</v>
      </c>
      <c r="P48" s="8">
        <v>-1351.02</v>
      </c>
      <c r="Q48" s="9">
        <v>-1351.02</v>
      </c>
      <c r="R48" s="8">
        <v>-1351.02</v>
      </c>
      <c r="S48" s="9">
        <v>-1351.02</v>
      </c>
      <c r="T48" s="8">
        <v>-1351.02</v>
      </c>
      <c r="U48" s="9">
        <v>-1351.02</v>
      </c>
      <c r="V48" s="8">
        <v>-1351.02</v>
      </c>
      <c r="W48" s="9">
        <v>-1351.02</v>
      </c>
      <c r="X48" s="8">
        <v>-1351.02</v>
      </c>
      <c r="Y48" s="9">
        <v>-1351.02</v>
      </c>
      <c r="Z48" s="8">
        <v>-1351.02</v>
      </c>
      <c r="AA48" s="9">
        <v>-1351.02</v>
      </c>
      <c r="AB48" s="8">
        <v>-1351.02</v>
      </c>
      <c r="AC48" s="9">
        <v>-1351.02</v>
      </c>
      <c r="AD48" s="8">
        <v>-1442.69</v>
      </c>
      <c r="AE48" s="9">
        <v>-1442.69</v>
      </c>
      <c r="AF48" s="8">
        <v>-1442.69</v>
      </c>
      <c r="AG48" s="9">
        <v>-1442.69</v>
      </c>
      <c r="AH48" s="8">
        <v>-1442.69</v>
      </c>
      <c r="AI48" s="9">
        <v>-1442.69</v>
      </c>
      <c r="AJ48" s="8">
        <v>-1442.69</v>
      </c>
      <c r="AK48" s="9">
        <v>-1442.69</v>
      </c>
      <c r="AL48" s="8">
        <v>-1442.69</v>
      </c>
      <c r="AM48" s="9">
        <v>0</v>
      </c>
      <c r="AN48" s="8">
        <v>-1442.69</v>
      </c>
      <c r="AO48" s="9">
        <v>-1442.69</v>
      </c>
      <c r="AP48" s="8">
        <v>-1442.69</v>
      </c>
      <c r="AQ48" s="9">
        <v>0</v>
      </c>
      <c r="AR48" s="8">
        <v>-1442.69</v>
      </c>
      <c r="AS48" s="9">
        <v>0</v>
      </c>
      <c r="AT48" s="8">
        <v>-1442.69</v>
      </c>
      <c r="AU48" s="9">
        <v>0</v>
      </c>
      <c r="AV48" s="8">
        <f t="shared" si="0"/>
        <v>-29196.449999999993</v>
      </c>
      <c r="AW48" s="30">
        <f t="shared" si="1"/>
        <v>-23425.69</v>
      </c>
    </row>
    <row r="49" spans="1:49" x14ac:dyDescent="0.25">
      <c r="A49" s="29" t="s">
        <v>59</v>
      </c>
      <c r="B49" s="8">
        <v>0</v>
      </c>
      <c r="C49" s="9">
        <v>0</v>
      </c>
      <c r="D49" s="8">
        <v>0</v>
      </c>
      <c r="E49" s="9">
        <v>0</v>
      </c>
      <c r="F49" s="8">
        <v>-72.900000000000006</v>
      </c>
      <c r="G49" s="9">
        <v>-72.900000000000006</v>
      </c>
      <c r="H49" s="8">
        <v>-90</v>
      </c>
      <c r="I49" s="9">
        <v>-90</v>
      </c>
      <c r="J49" s="8">
        <v>-89.99</v>
      </c>
      <c r="K49" s="9">
        <v>-89.99</v>
      </c>
      <c r="L49" s="8">
        <v>0</v>
      </c>
      <c r="M49" s="9">
        <v>0</v>
      </c>
      <c r="N49" s="8">
        <v>0</v>
      </c>
      <c r="O49" s="9">
        <v>0</v>
      </c>
      <c r="P49" s="8">
        <v>0</v>
      </c>
      <c r="Q49" s="9">
        <v>0</v>
      </c>
      <c r="R49" s="8">
        <v>0</v>
      </c>
      <c r="S49" s="9">
        <v>0</v>
      </c>
      <c r="T49" s="8">
        <v>0</v>
      </c>
      <c r="U49" s="9">
        <v>0</v>
      </c>
      <c r="V49" s="8">
        <v>0</v>
      </c>
      <c r="W49" s="9">
        <v>0</v>
      </c>
      <c r="X49" s="8"/>
      <c r="Y49" s="9"/>
      <c r="Z49" s="8"/>
      <c r="AA49" s="9"/>
      <c r="AB49" s="8"/>
      <c r="AC49" s="9"/>
      <c r="AD49" s="8"/>
      <c r="AE49" s="9"/>
      <c r="AF49" s="8"/>
      <c r="AG49" s="9"/>
      <c r="AH49" s="8"/>
      <c r="AI49" s="9"/>
      <c r="AJ49" s="8"/>
      <c r="AK49" s="9"/>
      <c r="AL49" s="8">
        <v>0</v>
      </c>
      <c r="AM49" s="9">
        <v>0</v>
      </c>
      <c r="AN49" s="8"/>
      <c r="AO49" s="9"/>
      <c r="AP49" s="8"/>
      <c r="AQ49" s="9"/>
      <c r="AR49" s="8"/>
      <c r="AS49" s="9"/>
      <c r="AT49" s="8"/>
      <c r="AU49" s="9"/>
      <c r="AV49" s="8">
        <f t="shared" si="0"/>
        <v>-252.89</v>
      </c>
      <c r="AW49" s="30">
        <f t="shared" si="1"/>
        <v>-252.89</v>
      </c>
    </row>
    <row r="50" spans="1:49" s="3" customFormat="1" x14ac:dyDescent="0.25">
      <c r="A50" s="34" t="s">
        <v>103</v>
      </c>
      <c r="B50" s="11">
        <v>-1278.6199999999999</v>
      </c>
      <c r="C50" s="12">
        <v>-1278.6199999999999</v>
      </c>
      <c r="D50" s="11">
        <v>-20</v>
      </c>
      <c r="E50" s="12">
        <v>-20</v>
      </c>
      <c r="F50" s="11">
        <v>-5874.99</v>
      </c>
      <c r="G50" s="12">
        <v>-5874.99</v>
      </c>
      <c r="H50" s="11">
        <v>-2174.92</v>
      </c>
      <c r="I50" s="12">
        <v>-2174.92</v>
      </c>
      <c r="J50" s="11">
        <v>-3500.79</v>
      </c>
      <c r="K50" s="12">
        <v>-3500.79</v>
      </c>
      <c r="L50" s="11">
        <v>-1257.4000000000001</v>
      </c>
      <c r="M50" s="12">
        <v>-1257.4000000000001</v>
      </c>
      <c r="N50" s="11">
        <v>-858.38</v>
      </c>
      <c r="O50" s="12">
        <v>-858.38</v>
      </c>
      <c r="P50" s="11">
        <v>-462.58</v>
      </c>
      <c r="Q50" s="12">
        <v>-462.58</v>
      </c>
      <c r="R50" s="11">
        <v>-2144.61</v>
      </c>
      <c r="S50" s="12">
        <v>-2144.61</v>
      </c>
      <c r="T50" s="11">
        <v>-2863.28</v>
      </c>
      <c r="U50" s="12">
        <v>-2863.28</v>
      </c>
      <c r="V50" s="11">
        <v>-1556.41</v>
      </c>
      <c r="W50" s="12">
        <v>-1556.41</v>
      </c>
      <c r="X50" s="11">
        <v>-3179.38</v>
      </c>
      <c r="Y50" s="12">
        <v>-3179.38</v>
      </c>
      <c r="Z50" s="11">
        <v>-3134.77</v>
      </c>
      <c r="AA50" s="12">
        <v>-3134.77</v>
      </c>
      <c r="AB50" s="11">
        <v>-2010.88</v>
      </c>
      <c r="AC50" s="12">
        <v>-2010.88</v>
      </c>
      <c r="AD50" s="11">
        <v>-5691.15</v>
      </c>
      <c r="AE50" s="12">
        <v>-5691.15</v>
      </c>
      <c r="AF50" s="11">
        <v>-5477.56</v>
      </c>
      <c r="AG50" s="12">
        <v>-5477.56</v>
      </c>
      <c r="AH50" s="11">
        <v>-2405.14</v>
      </c>
      <c r="AI50" s="12">
        <v>-2405.14</v>
      </c>
      <c r="AJ50" s="11">
        <v>-3975.33</v>
      </c>
      <c r="AK50" s="12">
        <v>-3975.33</v>
      </c>
      <c r="AL50" s="11">
        <v>-2006.66</v>
      </c>
      <c r="AM50" s="12">
        <v>-2006.66</v>
      </c>
      <c r="AN50" s="11">
        <v>-1175.5899999999999</v>
      </c>
      <c r="AO50" s="12">
        <v>-1175.5899999999999</v>
      </c>
      <c r="AP50" s="11">
        <v>0</v>
      </c>
      <c r="AQ50" s="12">
        <v>0</v>
      </c>
      <c r="AR50" s="11">
        <v>0</v>
      </c>
      <c r="AS50" s="12">
        <v>0</v>
      </c>
      <c r="AT50" s="11">
        <v>0</v>
      </c>
      <c r="AU50" s="12">
        <v>0</v>
      </c>
      <c r="AV50" s="11">
        <f t="shared" si="0"/>
        <v>-51048.439999999995</v>
      </c>
      <c r="AW50" s="35">
        <f t="shared" si="1"/>
        <v>-51048.439999999995</v>
      </c>
    </row>
    <row r="51" spans="1:49" s="3" customFormat="1" x14ac:dyDescent="0.25">
      <c r="A51" s="31" t="s">
        <v>104</v>
      </c>
      <c r="B51" s="11"/>
      <c r="C51" s="12"/>
      <c r="D51" s="11"/>
      <c r="E51" s="12"/>
      <c r="F51" s="11"/>
      <c r="G51" s="12"/>
      <c r="H51" s="11"/>
      <c r="I51" s="12"/>
      <c r="J51" s="11"/>
      <c r="K51" s="12"/>
      <c r="L51" s="11"/>
      <c r="M51" s="12"/>
      <c r="N51" s="11"/>
      <c r="O51" s="12"/>
      <c r="P51" s="11"/>
      <c r="Q51" s="12"/>
      <c r="R51" s="11"/>
      <c r="S51" s="12"/>
      <c r="T51" s="11"/>
      <c r="U51" s="12"/>
      <c r="V51" s="11"/>
      <c r="W51" s="12"/>
      <c r="X51" s="11">
        <v>0</v>
      </c>
      <c r="Y51" s="12">
        <v>0</v>
      </c>
      <c r="Z51" s="11">
        <v>0</v>
      </c>
      <c r="AA51" s="12">
        <v>0</v>
      </c>
      <c r="AB51" s="11">
        <v>0</v>
      </c>
      <c r="AC51" s="12">
        <v>0</v>
      </c>
      <c r="AD51" s="11">
        <v>0</v>
      </c>
      <c r="AE51" s="12">
        <v>0</v>
      </c>
      <c r="AF51" s="11">
        <v>0</v>
      </c>
      <c r="AG51" s="12">
        <v>0</v>
      </c>
      <c r="AH51" s="16">
        <v>-1200</v>
      </c>
      <c r="AI51" s="17">
        <v>-1200</v>
      </c>
      <c r="AJ51" s="11">
        <v>0</v>
      </c>
      <c r="AK51" s="12">
        <v>0</v>
      </c>
      <c r="AL51" s="11">
        <v>0</v>
      </c>
      <c r="AM51" s="12">
        <v>0</v>
      </c>
      <c r="AN51" s="11">
        <v>0</v>
      </c>
      <c r="AO51" s="12">
        <v>0</v>
      </c>
      <c r="AP51" s="11">
        <v>0</v>
      </c>
      <c r="AQ51" s="12">
        <v>0</v>
      </c>
      <c r="AR51" s="11">
        <v>0</v>
      </c>
      <c r="AS51" s="12">
        <v>0</v>
      </c>
      <c r="AT51" s="11">
        <v>0</v>
      </c>
      <c r="AU51" s="12">
        <v>0</v>
      </c>
      <c r="AV51" s="11">
        <f t="shared" si="0"/>
        <v>-1200</v>
      </c>
      <c r="AW51" s="35">
        <f t="shared" si="1"/>
        <v>-1200</v>
      </c>
    </row>
    <row r="52" spans="1:49" x14ac:dyDescent="0.25">
      <c r="A52" s="29" t="s">
        <v>60</v>
      </c>
      <c r="B52" s="8">
        <v>0</v>
      </c>
      <c r="C52" s="9">
        <v>0</v>
      </c>
      <c r="D52" s="8">
        <v>0</v>
      </c>
      <c r="E52" s="9">
        <v>0</v>
      </c>
      <c r="F52" s="8">
        <v>-19.989999999999998</v>
      </c>
      <c r="G52" s="9">
        <v>-19.989999999999998</v>
      </c>
      <c r="H52" s="8">
        <v>-259.60000000000002</v>
      </c>
      <c r="I52" s="9">
        <v>-259.60000000000002</v>
      </c>
      <c r="J52" s="8">
        <v>0</v>
      </c>
      <c r="K52" s="9">
        <v>0</v>
      </c>
      <c r="L52" s="8">
        <v>0</v>
      </c>
      <c r="M52" s="9">
        <v>0</v>
      </c>
      <c r="N52" s="8">
        <v>0</v>
      </c>
      <c r="O52" s="9">
        <v>0</v>
      </c>
      <c r="P52" s="8">
        <v>0</v>
      </c>
      <c r="Q52" s="9">
        <v>0</v>
      </c>
      <c r="R52" s="8">
        <v>0</v>
      </c>
      <c r="S52" s="9">
        <v>0</v>
      </c>
      <c r="T52" s="8">
        <v>0</v>
      </c>
      <c r="U52" s="9">
        <v>0</v>
      </c>
      <c r="V52" s="8">
        <v>0</v>
      </c>
      <c r="W52" s="9">
        <v>0</v>
      </c>
      <c r="X52" s="8">
        <v>0</v>
      </c>
      <c r="Y52" s="9">
        <v>0</v>
      </c>
      <c r="Z52" s="8">
        <v>0</v>
      </c>
      <c r="AA52" s="9">
        <v>0</v>
      </c>
      <c r="AB52" s="8">
        <v>0</v>
      </c>
      <c r="AC52" s="9">
        <v>0</v>
      </c>
      <c r="AD52" s="8">
        <v>0</v>
      </c>
      <c r="AE52" s="9">
        <v>0</v>
      </c>
      <c r="AF52" s="8">
        <v>-227.48</v>
      </c>
      <c r="AG52" s="9">
        <v>-227.48</v>
      </c>
      <c r="AH52" s="8"/>
      <c r="AI52" s="9"/>
      <c r="AJ52" s="8">
        <v>0</v>
      </c>
      <c r="AK52" s="9">
        <v>0</v>
      </c>
      <c r="AL52" s="8">
        <v>-29.98</v>
      </c>
      <c r="AM52" s="9">
        <v>-29.98</v>
      </c>
      <c r="AN52" s="8">
        <v>0</v>
      </c>
      <c r="AO52" s="9">
        <v>0</v>
      </c>
      <c r="AP52" s="8">
        <v>0</v>
      </c>
      <c r="AQ52" s="9">
        <v>0</v>
      </c>
      <c r="AR52" s="8">
        <v>0</v>
      </c>
      <c r="AS52" s="9">
        <v>0</v>
      </c>
      <c r="AT52" s="8">
        <v>0</v>
      </c>
      <c r="AU52" s="9">
        <v>0</v>
      </c>
      <c r="AV52" s="8">
        <f t="shared" si="0"/>
        <v>-537.05000000000007</v>
      </c>
      <c r="AW52" s="30">
        <f t="shared" si="1"/>
        <v>-537.05000000000007</v>
      </c>
    </row>
    <row r="53" spans="1:49" x14ac:dyDescent="0.25">
      <c r="A53" s="29" t="s">
        <v>61</v>
      </c>
      <c r="B53" s="8">
        <v>0</v>
      </c>
      <c r="C53" s="9">
        <v>0</v>
      </c>
      <c r="D53" s="8">
        <v>0</v>
      </c>
      <c r="E53" s="9">
        <v>0</v>
      </c>
      <c r="F53" s="8">
        <v>0</v>
      </c>
      <c r="G53" s="9">
        <v>0</v>
      </c>
      <c r="H53" s="8">
        <v>0</v>
      </c>
      <c r="I53" s="9">
        <v>0</v>
      </c>
      <c r="J53" s="8">
        <v>-172.4</v>
      </c>
      <c r="K53" s="9">
        <v>-172.4</v>
      </c>
      <c r="L53" s="8">
        <v>0</v>
      </c>
      <c r="M53" s="9">
        <v>0</v>
      </c>
      <c r="N53" s="8">
        <v>0</v>
      </c>
      <c r="O53" s="9">
        <v>0</v>
      </c>
      <c r="P53" s="8">
        <v>0</v>
      </c>
      <c r="Q53" s="9">
        <v>0</v>
      </c>
      <c r="R53" s="8">
        <v>0</v>
      </c>
      <c r="S53" s="9">
        <v>0</v>
      </c>
      <c r="T53" s="8">
        <v>0</v>
      </c>
      <c r="U53" s="9">
        <v>0</v>
      </c>
      <c r="V53" s="8">
        <v>0</v>
      </c>
      <c r="W53" s="9">
        <v>0</v>
      </c>
      <c r="X53" s="8">
        <v>0</v>
      </c>
      <c r="Y53" s="9">
        <v>0</v>
      </c>
      <c r="Z53" s="8">
        <v>0</v>
      </c>
      <c r="AA53" s="9">
        <v>0</v>
      </c>
      <c r="AB53" s="8">
        <v>0</v>
      </c>
      <c r="AC53" s="9">
        <v>0</v>
      </c>
      <c r="AD53" s="8">
        <v>-250</v>
      </c>
      <c r="AE53" s="9">
        <v>-250</v>
      </c>
      <c r="AF53" s="8">
        <v>0</v>
      </c>
      <c r="AG53" s="9">
        <v>0</v>
      </c>
      <c r="AH53" s="8"/>
      <c r="AI53" s="9"/>
      <c r="AJ53" s="8">
        <v>-90.3</v>
      </c>
      <c r="AK53" s="9">
        <v>-90.3</v>
      </c>
      <c r="AL53" s="8">
        <v>0</v>
      </c>
      <c r="AM53" s="9">
        <v>0</v>
      </c>
      <c r="AN53" s="8">
        <v>0</v>
      </c>
      <c r="AO53" s="9">
        <v>0</v>
      </c>
      <c r="AP53" s="8">
        <v>0</v>
      </c>
      <c r="AQ53" s="9">
        <v>0</v>
      </c>
      <c r="AR53" s="8">
        <v>0</v>
      </c>
      <c r="AS53" s="9">
        <v>0</v>
      </c>
      <c r="AT53" s="8">
        <v>0</v>
      </c>
      <c r="AU53" s="9">
        <v>0</v>
      </c>
      <c r="AV53" s="8">
        <f t="shared" si="0"/>
        <v>-512.69999999999993</v>
      </c>
      <c r="AW53" s="30">
        <f t="shared" si="1"/>
        <v>-512.69999999999993</v>
      </c>
    </row>
    <row r="54" spans="1:49" x14ac:dyDescent="0.25">
      <c r="A54" s="29" t="s">
        <v>62</v>
      </c>
      <c r="B54" s="8">
        <v>-1200</v>
      </c>
      <c r="C54" s="9">
        <v>-1200</v>
      </c>
      <c r="D54" s="8">
        <v>0</v>
      </c>
      <c r="E54" s="9">
        <v>0</v>
      </c>
      <c r="F54" s="8">
        <v>0</v>
      </c>
      <c r="G54" s="9">
        <v>0</v>
      </c>
      <c r="H54" s="8">
        <v>0</v>
      </c>
      <c r="I54" s="9">
        <v>0</v>
      </c>
      <c r="J54" s="8">
        <v>0</v>
      </c>
      <c r="K54" s="9">
        <v>0</v>
      </c>
      <c r="L54" s="8">
        <v>0</v>
      </c>
      <c r="M54" s="9">
        <v>0</v>
      </c>
      <c r="N54" s="8">
        <v>0</v>
      </c>
      <c r="O54" s="9">
        <v>0</v>
      </c>
      <c r="P54" s="8">
        <v>0</v>
      </c>
      <c r="Q54" s="9">
        <v>0</v>
      </c>
      <c r="R54" s="8">
        <v>0</v>
      </c>
      <c r="S54" s="9">
        <v>0</v>
      </c>
      <c r="T54" s="8">
        <v>0</v>
      </c>
      <c r="U54" s="9">
        <v>0</v>
      </c>
      <c r="V54" s="8">
        <v>0</v>
      </c>
      <c r="W54" s="9">
        <v>0</v>
      </c>
      <c r="X54" s="8"/>
      <c r="Y54" s="9"/>
      <c r="Z54" s="8"/>
      <c r="AA54" s="9"/>
      <c r="AB54" s="8"/>
      <c r="AC54" s="9"/>
      <c r="AD54" s="8"/>
      <c r="AE54" s="9"/>
      <c r="AF54" s="8"/>
      <c r="AG54" s="9"/>
      <c r="AH54" s="8"/>
      <c r="AI54" s="9"/>
      <c r="AJ54" s="8"/>
      <c r="AK54" s="9"/>
      <c r="AL54" s="8"/>
      <c r="AM54" s="9"/>
      <c r="AN54" s="8"/>
      <c r="AO54" s="9"/>
      <c r="AP54" s="8"/>
      <c r="AQ54" s="9"/>
      <c r="AR54" s="8"/>
      <c r="AS54" s="9"/>
      <c r="AT54" s="8"/>
      <c r="AU54" s="9"/>
      <c r="AV54" s="8">
        <f t="shared" si="0"/>
        <v>-1200</v>
      </c>
      <c r="AW54" s="30">
        <f t="shared" si="1"/>
        <v>-1200</v>
      </c>
    </row>
    <row r="55" spans="1:49" x14ac:dyDescent="0.25">
      <c r="A55" s="29" t="s">
        <v>63</v>
      </c>
      <c r="B55" s="8">
        <v>0</v>
      </c>
      <c r="C55" s="9">
        <v>0</v>
      </c>
      <c r="D55" s="8">
        <v>0</v>
      </c>
      <c r="E55" s="9">
        <v>0</v>
      </c>
      <c r="F55" s="8">
        <v>0</v>
      </c>
      <c r="G55" s="9">
        <v>0</v>
      </c>
      <c r="H55" s="8">
        <v>0</v>
      </c>
      <c r="I55" s="9">
        <v>0</v>
      </c>
      <c r="J55" s="8">
        <v>0</v>
      </c>
      <c r="K55" s="9">
        <v>0</v>
      </c>
      <c r="L55" s="8">
        <v>0</v>
      </c>
      <c r="M55" s="9">
        <v>0</v>
      </c>
      <c r="N55" s="8">
        <v>0</v>
      </c>
      <c r="O55" s="9">
        <v>0</v>
      </c>
      <c r="P55" s="8">
        <v>0</v>
      </c>
      <c r="Q55" s="9">
        <v>0</v>
      </c>
      <c r="R55" s="8">
        <v>0</v>
      </c>
      <c r="S55" s="9">
        <v>0</v>
      </c>
      <c r="T55" s="8">
        <v>0</v>
      </c>
      <c r="U55" s="9">
        <v>0</v>
      </c>
      <c r="V55" s="8">
        <v>-223.13</v>
      </c>
      <c r="W55" s="9">
        <v>-223.13</v>
      </c>
      <c r="X55" s="8">
        <v>0</v>
      </c>
      <c r="Y55" s="9">
        <v>0</v>
      </c>
      <c r="Z55" s="8">
        <v>0</v>
      </c>
      <c r="AA55" s="9">
        <v>0</v>
      </c>
      <c r="AB55" s="8">
        <v>0</v>
      </c>
      <c r="AC55" s="9">
        <v>0</v>
      </c>
      <c r="AD55" s="8">
        <v>0</v>
      </c>
      <c r="AE55" s="9">
        <v>0</v>
      </c>
      <c r="AF55" s="8">
        <v>-110.72</v>
      </c>
      <c r="AG55" s="9">
        <v>-110.72</v>
      </c>
      <c r="AH55" s="8"/>
      <c r="AI55" s="9"/>
      <c r="AJ55" s="8"/>
      <c r="AK55" s="9"/>
      <c r="AL55" s="8"/>
      <c r="AM55" s="9"/>
      <c r="AN55" s="8"/>
      <c r="AO55" s="9"/>
      <c r="AP55" s="8"/>
      <c r="AQ55" s="9"/>
      <c r="AR55" s="8"/>
      <c r="AS55" s="9"/>
      <c r="AT55" s="8"/>
      <c r="AU55" s="9"/>
      <c r="AV55" s="8">
        <f t="shared" si="0"/>
        <v>-333.85</v>
      </c>
      <c r="AW55" s="30">
        <f t="shared" si="1"/>
        <v>-333.85</v>
      </c>
    </row>
    <row r="56" spans="1:49" x14ac:dyDescent="0.25">
      <c r="A56" s="29" t="s">
        <v>64</v>
      </c>
      <c r="B56" s="8">
        <v>0</v>
      </c>
      <c r="C56" s="9">
        <v>0</v>
      </c>
      <c r="D56" s="8">
        <v>0</v>
      </c>
      <c r="E56" s="9">
        <v>0</v>
      </c>
      <c r="F56" s="8">
        <v>0</v>
      </c>
      <c r="G56" s="9">
        <v>0</v>
      </c>
      <c r="H56" s="8">
        <v>0</v>
      </c>
      <c r="I56" s="9">
        <v>0</v>
      </c>
      <c r="J56" s="8">
        <v>0</v>
      </c>
      <c r="K56" s="9">
        <v>0</v>
      </c>
      <c r="L56" s="8">
        <v>0</v>
      </c>
      <c r="M56" s="9">
        <v>0</v>
      </c>
      <c r="N56" s="8">
        <v>0</v>
      </c>
      <c r="O56" s="9">
        <v>0</v>
      </c>
      <c r="P56" s="8">
        <v>0</v>
      </c>
      <c r="Q56" s="9">
        <v>0</v>
      </c>
      <c r="R56" s="8">
        <v>-10.5</v>
      </c>
      <c r="S56" s="9">
        <v>-10.5</v>
      </c>
      <c r="T56" s="8">
        <v>0</v>
      </c>
      <c r="U56" s="9">
        <v>0</v>
      </c>
      <c r="V56" s="8">
        <v>0</v>
      </c>
      <c r="W56" s="9">
        <v>0</v>
      </c>
      <c r="X56" s="8">
        <v>0</v>
      </c>
      <c r="Y56" s="9">
        <v>0</v>
      </c>
      <c r="Z56" s="8">
        <v>0</v>
      </c>
      <c r="AA56" s="9">
        <v>0</v>
      </c>
      <c r="AB56" s="8">
        <v>0</v>
      </c>
      <c r="AC56" s="9">
        <v>0</v>
      </c>
      <c r="AD56" s="8">
        <v>0</v>
      </c>
      <c r="AE56" s="9">
        <v>0</v>
      </c>
      <c r="AF56" s="8">
        <v>-10.5</v>
      </c>
      <c r="AG56" s="9">
        <v>-10.5</v>
      </c>
      <c r="AH56" s="8"/>
      <c r="AI56" s="9"/>
      <c r="AJ56" s="8"/>
      <c r="AK56" s="9"/>
      <c r="AL56" s="8"/>
      <c r="AM56" s="9"/>
      <c r="AN56" s="8"/>
      <c r="AO56" s="9"/>
      <c r="AP56" s="8"/>
      <c r="AQ56" s="9"/>
      <c r="AR56" s="8"/>
      <c r="AS56" s="9"/>
      <c r="AT56" s="8"/>
      <c r="AU56" s="9"/>
      <c r="AV56" s="8">
        <f t="shared" si="0"/>
        <v>-21</v>
      </c>
      <c r="AW56" s="30">
        <f t="shared" si="1"/>
        <v>-21</v>
      </c>
    </row>
    <row r="57" spans="1:49" x14ac:dyDescent="0.25">
      <c r="A57" s="29" t="s">
        <v>65</v>
      </c>
      <c r="B57" s="8">
        <v>-20</v>
      </c>
      <c r="C57" s="9">
        <v>-20</v>
      </c>
      <c r="D57" s="8">
        <v>-20</v>
      </c>
      <c r="E57" s="9">
        <v>-20</v>
      </c>
      <c r="F57" s="8">
        <v>-2900</v>
      </c>
      <c r="G57" s="9">
        <v>-2900</v>
      </c>
      <c r="H57" s="8">
        <v>-418.32</v>
      </c>
      <c r="I57" s="9">
        <v>-418.32</v>
      </c>
      <c r="J57" s="8">
        <v>-1750.4</v>
      </c>
      <c r="K57" s="9">
        <v>-1750.4</v>
      </c>
      <c r="L57" s="8">
        <v>-989.42</v>
      </c>
      <c r="M57" s="9">
        <v>-989.42</v>
      </c>
      <c r="N57" s="8">
        <v>-380.39</v>
      </c>
      <c r="O57" s="9">
        <v>-380.39</v>
      </c>
      <c r="P57" s="8">
        <v>-10</v>
      </c>
      <c r="Q57" s="9">
        <v>-10</v>
      </c>
      <c r="R57" s="8">
        <v>-1072.3499999999999</v>
      </c>
      <c r="S57" s="9">
        <v>-1072.3499999999999</v>
      </c>
      <c r="T57" s="8">
        <v>0</v>
      </c>
      <c r="U57" s="9">
        <v>0</v>
      </c>
      <c r="V57" s="8">
        <v>0</v>
      </c>
      <c r="W57" s="9">
        <v>0</v>
      </c>
      <c r="X57" s="8">
        <v>-1900</v>
      </c>
      <c r="Y57" s="9">
        <v>-1900</v>
      </c>
      <c r="Z57" s="8">
        <v>-2440.46</v>
      </c>
      <c r="AA57" s="9">
        <v>-2440.46</v>
      </c>
      <c r="AB57" s="8">
        <v>0</v>
      </c>
      <c r="AC57" s="9">
        <v>0</v>
      </c>
      <c r="AD57" s="8">
        <v>-2878.58</v>
      </c>
      <c r="AE57" s="9">
        <v>-2878.58</v>
      </c>
      <c r="AF57" s="8">
        <v>-1210.45</v>
      </c>
      <c r="AG57" s="9">
        <v>-1210.45</v>
      </c>
      <c r="AH57" s="8">
        <v>-201.19</v>
      </c>
      <c r="AI57" s="9">
        <v>-201.19</v>
      </c>
      <c r="AJ57" s="8">
        <v>-3428</v>
      </c>
      <c r="AK57" s="9">
        <v>-3428</v>
      </c>
      <c r="AL57" s="8">
        <v>-764.88</v>
      </c>
      <c r="AM57" s="9">
        <v>-764.88</v>
      </c>
      <c r="AN57" s="8">
        <v>-227.88</v>
      </c>
      <c r="AO57" s="9">
        <v>-227.88</v>
      </c>
      <c r="AP57" s="8">
        <v>0</v>
      </c>
      <c r="AQ57" s="9">
        <v>0</v>
      </c>
      <c r="AR57" s="8">
        <v>0</v>
      </c>
      <c r="AS57" s="9">
        <v>0</v>
      </c>
      <c r="AT57" s="8">
        <v>0</v>
      </c>
      <c r="AU57" s="9">
        <v>0</v>
      </c>
      <c r="AV57" s="8">
        <f t="shared" si="0"/>
        <v>-20612.320000000003</v>
      </c>
      <c r="AW57" s="30">
        <f t="shared" si="1"/>
        <v>-20612.320000000003</v>
      </c>
    </row>
    <row r="58" spans="1:49" x14ac:dyDescent="0.25">
      <c r="A58" s="29" t="s">
        <v>66</v>
      </c>
      <c r="B58" s="8">
        <v>0</v>
      </c>
      <c r="C58" s="9">
        <v>0</v>
      </c>
      <c r="D58" s="8">
        <v>0</v>
      </c>
      <c r="E58" s="9">
        <v>0</v>
      </c>
      <c r="F58" s="8">
        <v>0</v>
      </c>
      <c r="G58" s="9">
        <v>0</v>
      </c>
      <c r="H58" s="8">
        <v>-1497</v>
      </c>
      <c r="I58" s="9">
        <v>-1497</v>
      </c>
      <c r="J58" s="8">
        <v>-27.99</v>
      </c>
      <c r="K58" s="9">
        <v>-27.99</v>
      </c>
      <c r="L58" s="8">
        <v>-267.98</v>
      </c>
      <c r="M58" s="9">
        <v>-267.98</v>
      </c>
      <c r="N58" s="8">
        <v>-477.99</v>
      </c>
      <c r="O58" s="9">
        <v>-477.99</v>
      </c>
      <c r="P58" s="8">
        <v>-357.97</v>
      </c>
      <c r="Q58" s="9">
        <v>-357.97</v>
      </c>
      <c r="R58" s="8">
        <v>-321.88</v>
      </c>
      <c r="S58" s="9">
        <v>-321.88</v>
      </c>
      <c r="T58" s="8">
        <v>-321.88</v>
      </c>
      <c r="U58" s="9">
        <v>-321.88</v>
      </c>
      <c r="V58" s="8">
        <v>-321.88</v>
      </c>
      <c r="W58" s="9">
        <v>-321.88</v>
      </c>
      <c r="X58" s="8">
        <v>-267.98</v>
      </c>
      <c r="Y58" s="9">
        <v>-267.98</v>
      </c>
      <c r="Z58" s="8">
        <v>-432.91</v>
      </c>
      <c r="AA58" s="9">
        <v>-432.91</v>
      </c>
      <c r="AB58" s="8">
        <v>-387.81</v>
      </c>
      <c r="AC58" s="9">
        <v>-387.81</v>
      </c>
      <c r="AD58" s="8">
        <v>-392.88</v>
      </c>
      <c r="AE58" s="9">
        <v>-392.88</v>
      </c>
      <c r="AF58" s="8">
        <v>-3667.99</v>
      </c>
      <c r="AG58" s="9">
        <v>-3667.99</v>
      </c>
      <c r="AH58" s="8">
        <v>-424.55</v>
      </c>
      <c r="AI58" s="9">
        <v>-424.55</v>
      </c>
      <c r="AJ58" s="8">
        <v>-428.53</v>
      </c>
      <c r="AK58" s="9">
        <v>-428.53</v>
      </c>
      <c r="AL58" s="8">
        <v>-1211.8</v>
      </c>
      <c r="AM58" s="9">
        <v>-1211.8</v>
      </c>
      <c r="AN58" s="8">
        <v>-947.71</v>
      </c>
      <c r="AO58" s="9">
        <v>-947.71</v>
      </c>
      <c r="AP58" s="8">
        <v>0</v>
      </c>
      <c r="AQ58" s="9">
        <v>0</v>
      </c>
      <c r="AR58" s="8">
        <v>0</v>
      </c>
      <c r="AS58" s="9">
        <v>0</v>
      </c>
      <c r="AT58" s="8">
        <v>0</v>
      </c>
      <c r="AU58" s="9">
        <v>0</v>
      </c>
      <c r="AV58" s="8">
        <f t="shared" si="0"/>
        <v>-11756.73</v>
      </c>
      <c r="AW58" s="30">
        <f t="shared" si="1"/>
        <v>-11756.73</v>
      </c>
    </row>
    <row r="59" spans="1:49" x14ac:dyDescent="0.25">
      <c r="A59" s="29" t="s">
        <v>67</v>
      </c>
      <c r="B59" s="8">
        <v>0</v>
      </c>
      <c r="C59" s="9">
        <v>0</v>
      </c>
      <c r="D59" s="8">
        <v>0</v>
      </c>
      <c r="E59" s="9">
        <v>0</v>
      </c>
      <c r="F59" s="8">
        <v>0</v>
      </c>
      <c r="G59" s="9">
        <v>0</v>
      </c>
      <c r="H59" s="8">
        <v>0</v>
      </c>
      <c r="I59" s="9">
        <v>0</v>
      </c>
      <c r="J59" s="8">
        <v>0</v>
      </c>
      <c r="K59" s="9">
        <v>0</v>
      </c>
      <c r="L59" s="8">
        <v>0</v>
      </c>
      <c r="M59" s="9">
        <v>0</v>
      </c>
      <c r="N59" s="8">
        <v>0</v>
      </c>
      <c r="O59" s="9">
        <v>0</v>
      </c>
      <c r="P59" s="8">
        <v>0</v>
      </c>
      <c r="Q59" s="9">
        <v>0</v>
      </c>
      <c r="R59" s="8">
        <v>0</v>
      </c>
      <c r="S59" s="9">
        <v>0</v>
      </c>
      <c r="T59" s="8">
        <v>-2280</v>
      </c>
      <c r="U59" s="9">
        <v>-2280</v>
      </c>
      <c r="V59" s="8">
        <v>0</v>
      </c>
      <c r="W59" s="9">
        <v>0</v>
      </c>
      <c r="X59" s="8"/>
      <c r="Y59" s="9"/>
      <c r="Z59" s="8"/>
      <c r="AA59" s="9"/>
      <c r="AB59" s="8"/>
      <c r="AC59" s="9"/>
      <c r="AD59" s="8"/>
      <c r="AE59" s="9"/>
      <c r="AF59" s="8"/>
      <c r="AG59" s="9"/>
      <c r="AH59" s="8"/>
      <c r="AI59" s="9"/>
      <c r="AJ59" s="8"/>
      <c r="AK59" s="9"/>
      <c r="AL59" s="8"/>
      <c r="AM59" s="9"/>
      <c r="AN59" s="8"/>
      <c r="AO59" s="9"/>
      <c r="AP59" s="8"/>
      <c r="AQ59" s="9"/>
      <c r="AR59" s="8"/>
      <c r="AS59" s="9"/>
      <c r="AT59" s="8"/>
      <c r="AU59" s="9"/>
      <c r="AV59" s="8">
        <f t="shared" si="0"/>
        <v>-2280</v>
      </c>
      <c r="AW59" s="30">
        <f t="shared" si="1"/>
        <v>-2280</v>
      </c>
    </row>
    <row r="60" spans="1:49" x14ac:dyDescent="0.25">
      <c r="A60" s="29" t="s">
        <v>68</v>
      </c>
      <c r="B60" s="8">
        <v>0</v>
      </c>
      <c r="C60" s="9">
        <v>0</v>
      </c>
      <c r="D60" s="8">
        <v>0</v>
      </c>
      <c r="E60" s="9">
        <v>0</v>
      </c>
      <c r="F60" s="8">
        <v>0</v>
      </c>
      <c r="G60" s="9">
        <v>0</v>
      </c>
      <c r="H60" s="8">
        <v>0</v>
      </c>
      <c r="I60" s="9">
        <v>0</v>
      </c>
      <c r="J60" s="8">
        <v>-1550</v>
      </c>
      <c r="K60" s="9">
        <v>-1550</v>
      </c>
      <c r="L60" s="8">
        <v>0</v>
      </c>
      <c r="M60" s="9">
        <v>0</v>
      </c>
      <c r="N60" s="8">
        <v>0</v>
      </c>
      <c r="O60" s="9">
        <v>0</v>
      </c>
      <c r="P60" s="8">
        <v>0</v>
      </c>
      <c r="Q60" s="9">
        <v>0</v>
      </c>
      <c r="R60" s="8">
        <v>-8</v>
      </c>
      <c r="S60" s="9">
        <v>-8</v>
      </c>
      <c r="T60" s="8">
        <v>0</v>
      </c>
      <c r="U60" s="9">
        <v>0</v>
      </c>
      <c r="V60" s="8">
        <v>0</v>
      </c>
      <c r="W60" s="9">
        <v>0</v>
      </c>
      <c r="X60" s="8">
        <v>0</v>
      </c>
      <c r="Y60" s="9">
        <v>0</v>
      </c>
      <c r="Z60" s="8">
        <v>0</v>
      </c>
      <c r="AA60" s="9">
        <v>0</v>
      </c>
      <c r="AB60" s="8">
        <v>-1500</v>
      </c>
      <c r="AC60" s="9">
        <v>-1500</v>
      </c>
      <c r="AD60" s="8">
        <v>-650</v>
      </c>
      <c r="AE60" s="9">
        <v>-650</v>
      </c>
      <c r="AF60" s="8">
        <v>0</v>
      </c>
      <c r="AG60" s="9">
        <v>0</v>
      </c>
      <c r="AH60" s="8"/>
      <c r="AI60" s="9"/>
      <c r="AJ60" s="8"/>
      <c r="AK60" s="9"/>
      <c r="AL60" s="8"/>
      <c r="AM60" s="9"/>
      <c r="AN60" s="8"/>
      <c r="AO60" s="9"/>
      <c r="AP60" s="8"/>
      <c r="AQ60" s="9"/>
      <c r="AR60" s="8"/>
      <c r="AS60" s="9"/>
      <c r="AT60" s="8"/>
      <c r="AU60" s="9"/>
      <c r="AV60" s="8">
        <f t="shared" si="0"/>
        <v>-3708</v>
      </c>
      <c r="AW60" s="30">
        <f t="shared" si="1"/>
        <v>-3708</v>
      </c>
    </row>
    <row r="61" spans="1:49" x14ac:dyDescent="0.25">
      <c r="A61" s="29" t="s">
        <v>69</v>
      </c>
      <c r="B61" s="8">
        <v>-58.62</v>
      </c>
      <c r="C61" s="9">
        <v>-58.62</v>
      </c>
      <c r="D61" s="8">
        <v>0</v>
      </c>
      <c r="E61" s="9">
        <v>0</v>
      </c>
      <c r="F61" s="8">
        <v>-2955</v>
      </c>
      <c r="G61" s="9">
        <v>-2955</v>
      </c>
      <c r="H61" s="8">
        <v>0</v>
      </c>
      <c r="I61" s="9">
        <v>0</v>
      </c>
      <c r="J61" s="8">
        <v>0</v>
      </c>
      <c r="K61" s="9">
        <v>0</v>
      </c>
      <c r="L61" s="8">
        <v>0</v>
      </c>
      <c r="M61" s="9">
        <v>0</v>
      </c>
      <c r="N61" s="8">
        <v>0</v>
      </c>
      <c r="O61" s="9">
        <v>0</v>
      </c>
      <c r="P61" s="8">
        <v>-94.61</v>
      </c>
      <c r="Q61" s="9">
        <v>-94.61</v>
      </c>
      <c r="R61" s="8">
        <v>-403.32</v>
      </c>
      <c r="S61" s="9">
        <v>-403.32</v>
      </c>
      <c r="T61" s="8">
        <v>0</v>
      </c>
      <c r="U61" s="9">
        <v>0</v>
      </c>
      <c r="V61" s="8">
        <v>0</v>
      </c>
      <c r="W61" s="9">
        <v>0</v>
      </c>
      <c r="X61" s="8">
        <v>0</v>
      </c>
      <c r="Y61" s="9">
        <v>0</v>
      </c>
      <c r="Z61" s="8">
        <v>0</v>
      </c>
      <c r="AA61" s="9">
        <v>0</v>
      </c>
      <c r="AB61" s="8">
        <v>-123.07</v>
      </c>
      <c r="AC61" s="9">
        <v>-123.07</v>
      </c>
      <c r="AD61" s="8">
        <v>-153.72</v>
      </c>
      <c r="AE61" s="9">
        <v>-153.72</v>
      </c>
      <c r="AF61" s="8">
        <v>-250.42</v>
      </c>
      <c r="AG61" s="9">
        <v>-250.42</v>
      </c>
      <c r="AH61" s="8"/>
      <c r="AI61" s="9"/>
      <c r="AJ61" s="8">
        <v>-28.5</v>
      </c>
      <c r="AK61" s="9">
        <v>-28.5</v>
      </c>
      <c r="AL61" s="8">
        <v>0</v>
      </c>
      <c r="AM61" s="9">
        <v>0</v>
      </c>
      <c r="AN61" s="8">
        <v>0</v>
      </c>
      <c r="AO61" s="9">
        <v>0</v>
      </c>
      <c r="AP61" s="8">
        <v>0</v>
      </c>
      <c r="AQ61" s="9">
        <v>0</v>
      </c>
      <c r="AR61" s="8">
        <v>0</v>
      </c>
      <c r="AS61" s="9">
        <v>0</v>
      </c>
      <c r="AT61" s="8">
        <v>0</v>
      </c>
      <c r="AU61" s="9">
        <v>0</v>
      </c>
      <c r="AV61" s="8">
        <f t="shared" si="0"/>
        <v>-4067.26</v>
      </c>
      <c r="AW61" s="30">
        <f t="shared" si="1"/>
        <v>-4067.26</v>
      </c>
    </row>
    <row r="62" spans="1:49" x14ac:dyDescent="0.25">
      <c r="A62" s="31" t="s">
        <v>105</v>
      </c>
      <c r="B62" s="8"/>
      <c r="C62" s="9"/>
      <c r="D62" s="8"/>
      <c r="E62" s="9"/>
      <c r="F62" s="8"/>
      <c r="G62" s="9"/>
      <c r="H62" s="8"/>
      <c r="I62" s="9"/>
      <c r="J62" s="8"/>
      <c r="K62" s="9"/>
      <c r="L62" s="8"/>
      <c r="M62" s="9"/>
      <c r="N62" s="8"/>
      <c r="O62" s="9"/>
      <c r="P62" s="8"/>
      <c r="Q62" s="9"/>
      <c r="R62" s="8"/>
      <c r="S62" s="9"/>
      <c r="T62" s="8"/>
      <c r="U62" s="9"/>
      <c r="V62" s="8"/>
      <c r="W62" s="9"/>
      <c r="X62" s="8">
        <v>0</v>
      </c>
      <c r="Y62" s="9">
        <v>0</v>
      </c>
      <c r="Z62" s="8">
        <v>0</v>
      </c>
      <c r="AA62" s="9">
        <v>0</v>
      </c>
      <c r="AB62" s="8">
        <v>0</v>
      </c>
      <c r="AC62" s="9">
        <v>0</v>
      </c>
      <c r="AD62" s="8">
        <v>0</v>
      </c>
      <c r="AE62" s="9">
        <v>0</v>
      </c>
      <c r="AF62" s="8">
        <v>0</v>
      </c>
      <c r="AG62" s="9">
        <v>0</v>
      </c>
      <c r="AH62" s="8">
        <v>-10.4</v>
      </c>
      <c r="AI62" s="9">
        <v>-10.4</v>
      </c>
      <c r="AJ62" s="8">
        <v>0</v>
      </c>
      <c r="AK62" s="9">
        <v>0</v>
      </c>
      <c r="AL62" s="8">
        <v>0</v>
      </c>
      <c r="AM62" s="9">
        <v>0</v>
      </c>
      <c r="AN62" s="8">
        <v>0</v>
      </c>
      <c r="AO62" s="9">
        <v>0</v>
      </c>
      <c r="AP62" s="8">
        <v>0</v>
      </c>
      <c r="AQ62" s="9">
        <v>0</v>
      </c>
      <c r="AR62" s="8">
        <v>0</v>
      </c>
      <c r="AS62" s="9">
        <v>0</v>
      </c>
      <c r="AT62" s="8">
        <v>0</v>
      </c>
      <c r="AU62" s="9">
        <v>0</v>
      </c>
      <c r="AV62" s="8">
        <f t="shared" si="0"/>
        <v>-10.4</v>
      </c>
      <c r="AW62" s="30">
        <f t="shared" si="1"/>
        <v>-10.4</v>
      </c>
    </row>
    <row r="63" spans="1:49" x14ac:dyDescent="0.25">
      <c r="A63" s="29" t="s">
        <v>70</v>
      </c>
      <c r="B63" s="8">
        <v>0</v>
      </c>
      <c r="C63" s="9">
        <v>0</v>
      </c>
      <c r="D63" s="8">
        <v>0</v>
      </c>
      <c r="E63" s="9">
        <v>0</v>
      </c>
      <c r="F63" s="8">
        <v>0</v>
      </c>
      <c r="G63" s="9">
        <v>0</v>
      </c>
      <c r="H63" s="8">
        <v>0</v>
      </c>
      <c r="I63" s="9">
        <v>0</v>
      </c>
      <c r="J63" s="8">
        <v>0</v>
      </c>
      <c r="K63" s="9">
        <v>0</v>
      </c>
      <c r="L63" s="8">
        <v>0</v>
      </c>
      <c r="M63" s="9">
        <v>0</v>
      </c>
      <c r="N63" s="8">
        <v>0</v>
      </c>
      <c r="O63" s="9">
        <v>0</v>
      </c>
      <c r="P63" s="8">
        <v>0</v>
      </c>
      <c r="Q63" s="9">
        <v>0</v>
      </c>
      <c r="R63" s="8">
        <v>-328.56</v>
      </c>
      <c r="S63" s="9">
        <v>-328.56</v>
      </c>
      <c r="T63" s="8">
        <v>-261.39999999999998</v>
      </c>
      <c r="U63" s="9">
        <v>-261.39999999999998</v>
      </c>
      <c r="V63" s="8">
        <v>-1011.4</v>
      </c>
      <c r="W63" s="9">
        <v>-1011.4</v>
      </c>
      <c r="X63" s="8">
        <v>-1011.4</v>
      </c>
      <c r="Y63" s="9">
        <v>-1011.4</v>
      </c>
      <c r="Z63" s="8">
        <v>-261.39999999999998</v>
      </c>
      <c r="AA63" s="9">
        <v>-261.39999999999998</v>
      </c>
      <c r="AB63" s="8">
        <v>0</v>
      </c>
      <c r="AC63" s="9">
        <v>0</v>
      </c>
      <c r="AD63" s="8">
        <v>-1365.97</v>
      </c>
      <c r="AE63" s="9">
        <v>-1365.97</v>
      </c>
      <c r="AF63" s="8">
        <v>0</v>
      </c>
      <c r="AG63" s="9">
        <v>0</v>
      </c>
      <c r="AH63" s="8">
        <v>-569</v>
      </c>
      <c r="AI63" s="9">
        <v>-569</v>
      </c>
      <c r="AJ63" s="8">
        <v>0</v>
      </c>
      <c r="AK63" s="9">
        <v>0</v>
      </c>
      <c r="AL63" s="8">
        <v>0</v>
      </c>
      <c r="AM63" s="9">
        <v>0</v>
      </c>
      <c r="AN63" s="8">
        <v>0</v>
      </c>
      <c r="AO63" s="9">
        <v>0</v>
      </c>
      <c r="AP63" s="8">
        <v>0</v>
      </c>
      <c r="AQ63" s="9">
        <v>0</v>
      </c>
      <c r="AR63" s="8">
        <v>0</v>
      </c>
      <c r="AS63" s="9">
        <v>0</v>
      </c>
      <c r="AT63" s="8">
        <v>0</v>
      </c>
      <c r="AU63" s="9">
        <v>0</v>
      </c>
      <c r="AV63" s="8">
        <f t="shared" si="0"/>
        <v>-4809.13</v>
      </c>
      <c r="AW63" s="30">
        <f t="shared" si="1"/>
        <v>-4809.13</v>
      </c>
    </row>
    <row r="64" spans="1:49" s="3" customFormat="1" x14ac:dyDescent="0.25">
      <c r="A64" s="27" t="s">
        <v>106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-166.2</v>
      </c>
      <c r="I64" s="7">
        <v>-166.2</v>
      </c>
      <c r="J64" s="7">
        <v>-123.57</v>
      </c>
      <c r="K64" s="7">
        <v>-123.57</v>
      </c>
      <c r="L64" s="7">
        <v>-64.459999999999994</v>
      </c>
      <c r="M64" s="7">
        <v>-64.459999999999994</v>
      </c>
      <c r="N64" s="7">
        <v>-278.83</v>
      </c>
      <c r="O64" s="7">
        <v>-278.83</v>
      </c>
      <c r="P64" s="7">
        <v>0</v>
      </c>
      <c r="Q64" s="7">
        <v>0</v>
      </c>
      <c r="R64" s="7">
        <v>-33.369999999999997</v>
      </c>
      <c r="S64" s="7">
        <v>-33.369999999999997</v>
      </c>
      <c r="T64" s="7">
        <v>0</v>
      </c>
      <c r="U64" s="7">
        <v>0</v>
      </c>
      <c r="V64" s="7">
        <v>-975.35</v>
      </c>
      <c r="W64" s="7">
        <v>-975.35</v>
      </c>
      <c r="X64" s="7">
        <v>-10</v>
      </c>
      <c r="Y64" s="7">
        <v>-10</v>
      </c>
      <c r="Z64" s="7">
        <v>0</v>
      </c>
      <c r="AA64" s="7">
        <v>0</v>
      </c>
      <c r="AB64" s="7">
        <v>-157.97</v>
      </c>
      <c r="AC64" s="7">
        <v>-157.97</v>
      </c>
      <c r="AD64" s="7">
        <v>0</v>
      </c>
      <c r="AE64" s="7">
        <v>0</v>
      </c>
      <c r="AF64" s="7">
        <v>-26.59</v>
      </c>
      <c r="AG64" s="7">
        <v>-26.59</v>
      </c>
      <c r="AH64" s="7">
        <v>-19.850000000000001</v>
      </c>
      <c r="AI64" s="7">
        <v>-19.850000000000001</v>
      </c>
      <c r="AJ64" s="7">
        <v>-60.94</v>
      </c>
      <c r="AK64" s="7">
        <v>-60.94</v>
      </c>
      <c r="AL64" s="7">
        <v>-310.17</v>
      </c>
      <c r="AM64" s="7">
        <v>-310.17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f t="shared" si="0"/>
        <v>-2227.2999999999997</v>
      </c>
      <c r="AW64" s="28">
        <f t="shared" si="1"/>
        <v>-2227.2999999999997</v>
      </c>
    </row>
    <row r="65" spans="1:49" x14ac:dyDescent="0.25">
      <c r="A65" s="29" t="s">
        <v>71</v>
      </c>
      <c r="B65" s="8">
        <v>0</v>
      </c>
      <c r="C65" s="9">
        <v>0</v>
      </c>
      <c r="D65" s="8">
        <v>0</v>
      </c>
      <c r="E65" s="9">
        <v>0</v>
      </c>
      <c r="F65" s="8">
        <v>0</v>
      </c>
      <c r="G65" s="9">
        <v>0</v>
      </c>
      <c r="H65" s="8">
        <v>0</v>
      </c>
      <c r="I65" s="9">
        <v>0</v>
      </c>
      <c r="J65" s="8">
        <v>-123.57</v>
      </c>
      <c r="K65" s="9">
        <v>-123.57</v>
      </c>
      <c r="L65" s="8">
        <v>-64.459999999999994</v>
      </c>
      <c r="M65" s="9">
        <v>-64.459999999999994</v>
      </c>
      <c r="N65" s="8">
        <v>-278.83</v>
      </c>
      <c r="O65" s="9">
        <v>-278.83</v>
      </c>
      <c r="P65" s="8">
        <v>0</v>
      </c>
      <c r="Q65" s="9">
        <v>0</v>
      </c>
      <c r="R65" s="8">
        <v>-33.369999999999997</v>
      </c>
      <c r="S65" s="9">
        <v>-33.369999999999997</v>
      </c>
      <c r="T65" s="8">
        <v>0</v>
      </c>
      <c r="U65" s="9">
        <v>0</v>
      </c>
      <c r="V65" s="8">
        <v>-975.35</v>
      </c>
      <c r="W65" s="9">
        <v>-975.35</v>
      </c>
      <c r="X65" s="8">
        <v>-10</v>
      </c>
      <c r="Y65" s="9">
        <v>-10</v>
      </c>
      <c r="Z65" s="8">
        <v>0</v>
      </c>
      <c r="AA65" s="9">
        <v>0</v>
      </c>
      <c r="AB65" s="8">
        <v>-157.97</v>
      </c>
      <c r="AC65" s="9">
        <v>-157.97</v>
      </c>
      <c r="AD65" s="8">
        <v>0</v>
      </c>
      <c r="AE65" s="9">
        <v>0</v>
      </c>
      <c r="AF65" s="8">
        <v>-26.59</v>
      </c>
      <c r="AG65" s="9">
        <v>-26.59</v>
      </c>
      <c r="AH65" s="8">
        <v>-19.850000000000001</v>
      </c>
      <c r="AI65" s="9">
        <v>-19.850000000000001</v>
      </c>
      <c r="AJ65" s="8">
        <v>-60.94</v>
      </c>
      <c r="AK65" s="9">
        <v>-60.94</v>
      </c>
      <c r="AL65" s="8">
        <v>-310.17</v>
      </c>
      <c r="AM65" s="9">
        <v>-310.17</v>
      </c>
      <c r="AN65" s="8">
        <v>0</v>
      </c>
      <c r="AO65" s="9">
        <v>0</v>
      </c>
      <c r="AP65" s="8">
        <v>0</v>
      </c>
      <c r="AQ65" s="9">
        <v>0</v>
      </c>
      <c r="AR65" s="8">
        <v>0</v>
      </c>
      <c r="AS65" s="9">
        <v>0</v>
      </c>
      <c r="AT65" s="8">
        <v>0</v>
      </c>
      <c r="AU65" s="9">
        <v>0</v>
      </c>
      <c r="AV65" s="8">
        <f t="shared" si="0"/>
        <v>-2061.1</v>
      </c>
      <c r="AW65" s="30">
        <f t="shared" si="1"/>
        <v>-2061.1</v>
      </c>
    </row>
    <row r="66" spans="1:49" x14ac:dyDescent="0.25">
      <c r="A66" s="29" t="s">
        <v>72</v>
      </c>
      <c r="B66" s="8">
        <v>0</v>
      </c>
      <c r="C66" s="9">
        <v>0</v>
      </c>
      <c r="D66" s="8">
        <v>0</v>
      </c>
      <c r="E66" s="9">
        <v>0</v>
      </c>
      <c r="F66" s="8">
        <v>0</v>
      </c>
      <c r="G66" s="9">
        <v>0</v>
      </c>
      <c r="H66" s="8">
        <v>-166.2</v>
      </c>
      <c r="I66" s="9">
        <v>-166.2</v>
      </c>
      <c r="J66" s="8">
        <v>0</v>
      </c>
      <c r="K66" s="9">
        <v>0</v>
      </c>
      <c r="L66" s="8">
        <v>0</v>
      </c>
      <c r="M66" s="9">
        <v>0</v>
      </c>
      <c r="N66" s="8">
        <v>0</v>
      </c>
      <c r="O66" s="9">
        <v>0</v>
      </c>
      <c r="P66" s="8">
        <v>0</v>
      </c>
      <c r="Q66" s="9">
        <v>0</v>
      </c>
      <c r="R66" s="8">
        <v>0</v>
      </c>
      <c r="S66" s="9">
        <v>0</v>
      </c>
      <c r="T66" s="8">
        <v>0</v>
      </c>
      <c r="U66" s="9">
        <v>0</v>
      </c>
      <c r="V66" s="8">
        <v>0</v>
      </c>
      <c r="W66" s="9">
        <v>0</v>
      </c>
      <c r="X66" s="8"/>
      <c r="Y66" s="9"/>
      <c r="Z66" s="8"/>
      <c r="AA66" s="9"/>
      <c r="AB66" s="8"/>
      <c r="AC66" s="9"/>
      <c r="AD66" s="8"/>
      <c r="AE66" s="9"/>
      <c r="AF66" s="8"/>
      <c r="AG66" s="9"/>
      <c r="AH66" s="8"/>
      <c r="AI66" s="9"/>
      <c r="AJ66" s="8"/>
      <c r="AK66" s="9"/>
      <c r="AL66" s="8"/>
      <c r="AM66" s="9"/>
      <c r="AN66" s="8"/>
      <c r="AO66" s="9"/>
      <c r="AP66" s="8"/>
      <c r="AQ66" s="9"/>
      <c r="AR66" s="8"/>
      <c r="AS66" s="9"/>
      <c r="AT66" s="8"/>
      <c r="AU66" s="9"/>
      <c r="AV66" s="8">
        <f t="shared" si="0"/>
        <v>-166.2</v>
      </c>
      <c r="AW66" s="30">
        <f t="shared" si="1"/>
        <v>-166.2</v>
      </c>
    </row>
    <row r="67" spans="1:49" s="3" customFormat="1" x14ac:dyDescent="0.25">
      <c r="A67" s="27" t="s">
        <v>107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-6.02</v>
      </c>
      <c r="K67" s="7">
        <v>-6.02</v>
      </c>
      <c r="L67" s="7">
        <v>-141.85</v>
      </c>
      <c r="M67" s="7">
        <v>-141.85</v>
      </c>
      <c r="N67" s="7">
        <v>-10.02</v>
      </c>
      <c r="O67" s="7">
        <v>-10.02</v>
      </c>
      <c r="P67" s="7">
        <v>-241.51</v>
      </c>
      <c r="Q67" s="7">
        <v>-241.51</v>
      </c>
      <c r="R67" s="7">
        <v>-35.53</v>
      </c>
      <c r="S67" s="7">
        <v>-35.53</v>
      </c>
      <c r="T67" s="7">
        <v>-29.56</v>
      </c>
      <c r="U67" s="7">
        <v>-29.56</v>
      </c>
      <c r="V67" s="7">
        <v>-58.22</v>
      </c>
      <c r="W67" s="7">
        <v>-58.22</v>
      </c>
      <c r="X67" s="7">
        <v>-91.43</v>
      </c>
      <c r="Y67" s="7">
        <v>-91.43</v>
      </c>
      <c r="Z67" s="7">
        <v>-201.43</v>
      </c>
      <c r="AA67" s="7">
        <v>-201.43</v>
      </c>
      <c r="AB67" s="7">
        <v>-858.27</v>
      </c>
      <c r="AC67" s="7">
        <v>-858.27</v>
      </c>
      <c r="AD67" s="7">
        <v>-705.95</v>
      </c>
      <c r="AE67" s="7">
        <v>-705.95</v>
      </c>
      <c r="AF67" s="7">
        <v>-383.94</v>
      </c>
      <c r="AG67" s="7">
        <v>-383.94</v>
      </c>
      <c r="AH67" s="7">
        <v>-130.38</v>
      </c>
      <c r="AI67" s="7">
        <v>-130.38</v>
      </c>
      <c r="AJ67" s="7">
        <v>-25.98</v>
      </c>
      <c r="AK67" s="7">
        <v>-25.98</v>
      </c>
      <c r="AL67" s="7">
        <v>-64.73</v>
      </c>
      <c r="AM67" s="7">
        <v>-64.73</v>
      </c>
      <c r="AN67" s="7">
        <v>-42.15</v>
      </c>
      <c r="AO67" s="7">
        <v>-42.15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f t="shared" si="0"/>
        <v>-3026.9700000000003</v>
      </c>
      <c r="AW67" s="28">
        <f t="shared" si="1"/>
        <v>-3026.9700000000003</v>
      </c>
    </row>
    <row r="68" spans="1:49" x14ac:dyDescent="0.25">
      <c r="A68" s="29" t="s">
        <v>73</v>
      </c>
      <c r="B68" s="8">
        <v>0</v>
      </c>
      <c r="C68" s="9">
        <v>0</v>
      </c>
      <c r="D68" s="8">
        <v>0</v>
      </c>
      <c r="E68" s="9">
        <v>0</v>
      </c>
      <c r="F68" s="8">
        <v>0</v>
      </c>
      <c r="G68" s="9">
        <v>0</v>
      </c>
      <c r="H68" s="8">
        <v>0</v>
      </c>
      <c r="I68" s="9">
        <v>0</v>
      </c>
      <c r="J68" s="8">
        <v>-6.02</v>
      </c>
      <c r="K68" s="9">
        <v>-6.02</v>
      </c>
      <c r="L68" s="8">
        <v>-23.57</v>
      </c>
      <c r="M68" s="9">
        <v>-23.57</v>
      </c>
      <c r="N68" s="8">
        <v>-6.02</v>
      </c>
      <c r="O68" s="9">
        <v>-6.02</v>
      </c>
      <c r="P68" s="8">
        <v>-201.83</v>
      </c>
      <c r="Q68" s="9">
        <v>-201.83</v>
      </c>
      <c r="R68" s="8">
        <v>-32.299999999999997</v>
      </c>
      <c r="S68" s="9">
        <v>-32.299999999999997</v>
      </c>
      <c r="T68" s="8">
        <v>-18.62</v>
      </c>
      <c r="U68" s="9">
        <v>-18.62</v>
      </c>
      <c r="V68" s="8">
        <v>-6.23</v>
      </c>
      <c r="W68" s="9">
        <v>-6.23</v>
      </c>
      <c r="X68" s="8">
        <v>0</v>
      </c>
      <c r="Y68" s="9">
        <v>0</v>
      </c>
      <c r="Z68" s="8">
        <v>-6.23</v>
      </c>
      <c r="AA68" s="9">
        <v>-6.23</v>
      </c>
      <c r="AB68" s="8">
        <v>-5.25</v>
      </c>
      <c r="AC68" s="9">
        <v>-5.25</v>
      </c>
      <c r="AD68" s="8">
        <v>-6.23</v>
      </c>
      <c r="AE68" s="9">
        <v>-6.23</v>
      </c>
      <c r="AF68" s="8">
        <v>-71.430000000000007</v>
      </c>
      <c r="AG68" s="9">
        <v>-71.430000000000007</v>
      </c>
      <c r="AH68" s="8">
        <v>-21.06</v>
      </c>
      <c r="AI68" s="9">
        <v>-21.06</v>
      </c>
      <c r="AJ68" s="8">
        <v>-25.98</v>
      </c>
      <c r="AK68" s="9">
        <v>-25.98</v>
      </c>
      <c r="AL68" s="8">
        <v>-64.73</v>
      </c>
      <c r="AM68" s="9">
        <v>-64.73</v>
      </c>
      <c r="AN68" s="8">
        <v>-42.15</v>
      </c>
      <c r="AO68" s="9">
        <v>-42.15</v>
      </c>
      <c r="AP68" s="8">
        <v>0</v>
      </c>
      <c r="AQ68" s="9">
        <v>0</v>
      </c>
      <c r="AR68" s="8">
        <v>0</v>
      </c>
      <c r="AS68" s="9">
        <v>0</v>
      </c>
      <c r="AT68" s="8">
        <v>0</v>
      </c>
      <c r="AU68" s="9">
        <v>0</v>
      </c>
      <c r="AV68" s="8">
        <f t="shared" si="0"/>
        <v>-537.65000000000009</v>
      </c>
      <c r="AW68" s="30">
        <f t="shared" si="1"/>
        <v>-537.65000000000009</v>
      </c>
    </row>
    <row r="69" spans="1:49" x14ac:dyDescent="0.25">
      <c r="A69" s="29" t="s">
        <v>74</v>
      </c>
      <c r="B69" s="8">
        <v>0</v>
      </c>
      <c r="C69" s="9">
        <v>0</v>
      </c>
      <c r="D69" s="8">
        <v>0</v>
      </c>
      <c r="E69" s="9">
        <v>0</v>
      </c>
      <c r="F69" s="8">
        <v>0</v>
      </c>
      <c r="G69" s="9">
        <v>0</v>
      </c>
      <c r="H69" s="8">
        <v>0</v>
      </c>
      <c r="I69" s="9">
        <v>0</v>
      </c>
      <c r="J69" s="8">
        <v>0</v>
      </c>
      <c r="K69" s="9">
        <v>0</v>
      </c>
      <c r="L69" s="8">
        <v>0</v>
      </c>
      <c r="M69" s="9">
        <v>0</v>
      </c>
      <c r="N69" s="8">
        <v>0</v>
      </c>
      <c r="O69" s="9">
        <v>0</v>
      </c>
      <c r="P69" s="8">
        <v>-39.68</v>
      </c>
      <c r="Q69" s="9">
        <v>-39.68</v>
      </c>
      <c r="R69" s="8">
        <v>-3.23</v>
      </c>
      <c r="S69" s="9">
        <v>-3.23</v>
      </c>
      <c r="T69" s="8">
        <v>-10.94</v>
      </c>
      <c r="U69" s="9">
        <v>-10.94</v>
      </c>
      <c r="V69" s="8">
        <v>-51.99</v>
      </c>
      <c r="W69" s="9">
        <v>-51.99</v>
      </c>
      <c r="X69" s="8">
        <v>-91.43</v>
      </c>
      <c r="Y69" s="9">
        <v>-91.43</v>
      </c>
      <c r="Z69" s="8">
        <v>-195.2</v>
      </c>
      <c r="AA69" s="9">
        <v>-195.2</v>
      </c>
      <c r="AB69" s="8">
        <v>-853.02</v>
      </c>
      <c r="AC69" s="9">
        <v>-853.02</v>
      </c>
      <c r="AD69" s="8">
        <v>-699.72</v>
      </c>
      <c r="AE69" s="9">
        <v>-699.72</v>
      </c>
      <c r="AF69" s="8">
        <v>-31.43</v>
      </c>
      <c r="AG69" s="9">
        <v>-31.43</v>
      </c>
      <c r="AH69" s="8">
        <v>-109.32</v>
      </c>
      <c r="AI69" s="9">
        <v>-109.32</v>
      </c>
      <c r="AJ69" s="8">
        <v>0</v>
      </c>
      <c r="AK69" s="9">
        <v>0</v>
      </c>
      <c r="AL69" s="8">
        <v>0</v>
      </c>
      <c r="AM69" s="9">
        <v>0</v>
      </c>
      <c r="AN69" s="8">
        <v>0</v>
      </c>
      <c r="AO69" s="9">
        <v>0</v>
      </c>
      <c r="AP69" s="8">
        <v>0</v>
      </c>
      <c r="AQ69" s="9">
        <v>0</v>
      </c>
      <c r="AR69" s="8">
        <v>0</v>
      </c>
      <c r="AS69" s="9">
        <v>0</v>
      </c>
      <c r="AT69" s="8">
        <v>0</v>
      </c>
      <c r="AU69" s="9">
        <v>0</v>
      </c>
      <c r="AV69" s="8">
        <f t="shared" ref="AV69:AV78" si="2">SUM(B69+D69+F69+H69+J69+L69+N69+P69+R69+T69+V69+X69+Z69+AB69+AD69+AF69+AH69+AJ69+AL69+AN69+AP69+AR69+AT69)</f>
        <v>-2085.96</v>
      </c>
      <c r="AW69" s="30">
        <f t="shared" ref="AW69:AW78" si="3">SUM(C69+E69+G69+I69+K69+M69+O69+Q69+S69+U69+W69+Y69+AA69+AC69+AE69+AG69+AI69+AK69+AM69+AO69+AQ69+AS69+AU69)</f>
        <v>-2085.96</v>
      </c>
    </row>
    <row r="70" spans="1:49" x14ac:dyDescent="0.25">
      <c r="A70" s="29" t="s">
        <v>75</v>
      </c>
      <c r="B70" s="8">
        <v>0</v>
      </c>
      <c r="C70" s="9">
        <v>0</v>
      </c>
      <c r="D70" s="8">
        <v>0</v>
      </c>
      <c r="E70" s="9">
        <v>0</v>
      </c>
      <c r="F70" s="8">
        <v>0</v>
      </c>
      <c r="G70" s="9">
        <v>0</v>
      </c>
      <c r="H70" s="8">
        <v>0</v>
      </c>
      <c r="I70" s="9">
        <v>0</v>
      </c>
      <c r="J70" s="8">
        <v>0</v>
      </c>
      <c r="K70" s="9">
        <v>0</v>
      </c>
      <c r="L70" s="8">
        <v>-92.89</v>
      </c>
      <c r="M70" s="9">
        <v>-92.89</v>
      </c>
      <c r="N70" s="8">
        <v>0</v>
      </c>
      <c r="O70" s="9">
        <v>0</v>
      </c>
      <c r="P70" s="8">
        <v>0</v>
      </c>
      <c r="Q70" s="9">
        <v>0</v>
      </c>
      <c r="R70" s="8">
        <v>0</v>
      </c>
      <c r="S70" s="9">
        <v>0</v>
      </c>
      <c r="T70" s="8">
        <v>0</v>
      </c>
      <c r="U70" s="9">
        <v>0</v>
      </c>
      <c r="V70" s="8">
        <v>0</v>
      </c>
      <c r="W70" s="9">
        <v>0</v>
      </c>
      <c r="X70" s="8"/>
      <c r="Y70" s="9"/>
      <c r="Z70" s="8"/>
      <c r="AA70" s="9"/>
      <c r="AB70" s="8"/>
      <c r="AC70" s="9"/>
      <c r="AD70" s="8"/>
      <c r="AE70" s="9"/>
      <c r="AF70" s="8"/>
      <c r="AG70" s="9"/>
      <c r="AH70" s="8"/>
      <c r="AI70" s="9"/>
      <c r="AJ70" s="8"/>
      <c r="AK70" s="9"/>
      <c r="AL70" s="8"/>
      <c r="AM70" s="9"/>
      <c r="AN70" s="8"/>
      <c r="AO70" s="9"/>
      <c r="AP70" s="8"/>
      <c r="AQ70" s="9"/>
      <c r="AR70" s="8"/>
      <c r="AS70" s="9"/>
      <c r="AT70" s="8"/>
      <c r="AU70" s="9"/>
      <c r="AV70" s="8">
        <f t="shared" si="2"/>
        <v>-92.89</v>
      </c>
      <c r="AW70" s="30">
        <f t="shared" si="3"/>
        <v>-92.89</v>
      </c>
    </row>
    <row r="71" spans="1:49" x14ac:dyDescent="0.25">
      <c r="A71" s="29" t="s">
        <v>76</v>
      </c>
      <c r="B71" s="8">
        <v>0</v>
      </c>
      <c r="C71" s="9">
        <v>0</v>
      </c>
      <c r="D71" s="8">
        <v>0</v>
      </c>
      <c r="E71" s="9">
        <v>0</v>
      </c>
      <c r="F71" s="8">
        <v>0</v>
      </c>
      <c r="G71" s="9">
        <v>0</v>
      </c>
      <c r="H71" s="8">
        <v>0</v>
      </c>
      <c r="I71" s="9">
        <v>0</v>
      </c>
      <c r="J71" s="8">
        <v>0</v>
      </c>
      <c r="K71" s="9">
        <v>0</v>
      </c>
      <c r="L71" s="8">
        <v>-25.39</v>
      </c>
      <c r="M71" s="9">
        <v>-25.39</v>
      </c>
      <c r="N71" s="8">
        <v>-4</v>
      </c>
      <c r="O71" s="9">
        <v>-4</v>
      </c>
      <c r="P71" s="8">
        <v>0</v>
      </c>
      <c r="Q71" s="9">
        <v>0</v>
      </c>
      <c r="R71" s="8">
        <v>0</v>
      </c>
      <c r="S71" s="9">
        <v>0</v>
      </c>
      <c r="T71" s="8">
        <v>0</v>
      </c>
      <c r="U71" s="9">
        <v>0</v>
      </c>
      <c r="V71" s="8">
        <v>0</v>
      </c>
      <c r="W71" s="9">
        <v>0</v>
      </c>
      <c r="X71" s="8">
        <v>0</v>
      </c>
      <c r="Y71" s="9">
        <v>0</v>
      </c>
      <c r="Z71" s="8">
        <v>0</v>
      </c>
      <c r="AA71" s="9">
        <v>0</v>
      </c>
      <c r="AB71" s="8">
        <v>0</v>
      </c>
      <c r="AC71" s="9">
        <v>0</v>
      </c>
      <c r="AD71" s="8">
        <v>0</v>
      </c>
      <c r="AE71" s="9">
        <v>0</v>
      </c>
      <c r="AF71" s="8">
        <v>-281.08</v>
      </c>
      <c r="AG71" s="9">
        <v>-281.08</v>
      </c>
      <c r="AH71" s="8"/>
      <c r="AI71" s="9"/>
      <c r="AJ71" s="8"/>
      <c r="AK71" s="9"/>
      <c r="AL71" s="8"/>
      <c r="AM71" s="9"/>
      <c r="AN71" s="8"/>
      <c r="AO71" s="9"/>
      <c r="AP71" s="8"/>
      <c r="AQ71" s="9"/>
      <c r="AR71" s="8"/>
      <c r="AS71" s="9"/>
      <c r="AT71" s="8"/>
      <c r="AU71" s="9"/>
      <c r="AV71" s="8">
        <f t="shared" si="2"/>
        <v>-310.46999999999997</v>
      </c>
      <c r="AW71" s="30">
        <f t="shared" si="3"/>
        <v>-310.46999999999997</v>
      </c>
    </row>
    <row r="72" spans="1:49" s="3" customFormat="1" x14ac:dyDescent="0.25">
      <c r="A72" s="27" t="s">
        <v>108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-27547.45</v>
      </c>
      <c r="Q72" s="7">
        <v>-27547.45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-18166.759999999998</v>
      </c>
      <c r="AC72" s="7">
        <v>-18166.759999999998</v>
      </c>
      <c r="AD72" s="7">
        <v>0</v>
      </c>
      <c r="AE72" s="7">
        <v>0</v>
      </c>
      <c r="AF72" s="7">
        <v>0</v>
      </c>
      <c r="AG72" s="7">
        <v>0</v>
      </c>
      <c r="AH72" s="7">
        <v>-17151.73</v>
      </c>
      <c r="AI72" s="7">
        <v>-17151.73</v>
      </c>
      <c r="AJ72" s="7">
        <v>-6000</v>
      </c>
      <c r="AK72" s="7">
        <v>-6000</v>
      </c>
      <c r="AL72" s="7">
        <v>-10989.65</v>
      </c>
      <c r="AM72" s="7">
        <v>-10989.65</v>
      </c>
      <c r="AN72" s="7">
        <v>-29220</v>
      </c>
      <c r="AO72" s="7">
        <v>-29220</v>
      </c>
      <c r="AP72" s="7">
        <v>-5000</v>
      </c>
      <c r="AQ72" s="7">
        <v>0</v>
      </c>
      <c r="AR72" s="7">
        <v>-5000</v>
      </c>
      <c r="AS72" s="7">
        <v>0</v>
      </c>
      <c r="AT72" s="7">
        <v>-5000</v>
      </c>
      <c r="AU72" s="7">
        <v>0</v>
      </c>
      <c r="AV72" s="7">
        <f t="shared" si="2"/>
        <v>-124075.59</v>
      </c>
      <c r="AW72" s="28">
        <f t="shared" si="3"/>
        <v>-109075.59</v>
      </c>
    </row>
    <row r="73" spans="1:49" s="14" customFormat="1" x14ac:dyDescent="0.25">
      <c r="A73" s="36" t="s">
        <v>77</v>
      </c>
      <c r="B73" s="8"/>
      <c r="C73" s="13"/>
      <c r="D73" s="8"/>
      <c r="E73" s="13"/>
      <c r="F73" s="8"/>
      <c r="G73" s="13"/>
      <c r="H73" s="8"/>
      <c r="I73" s="13"/>
      <c r="J73" s="8"/>
      <c r="K73" s="13"/>
      <c r="L73" s="8"/>
      <c r="M73" s="13"/>
      <c r="N73" s="8"/>
      <c r="O73" s="13"/>
      <c r="P73" s="8"/>
      <c r="Q73" s="13"/>
      <c r="R73" s="8"/>
      <c r="S73" s="9"/>
      <c r="T73" s="8"/>
      <c r="U73" s="9"/>
      <c r="V73" s="8"/>
      <c r="W73" s="9"/>
      <c r="X73" s="8">
        <v>0</v>
      </c>
      <c r="Y73" s="9">
        <v>0</v>
      </c>
      <c r="Z73" s="8">
        <v>0</v>
      </c>
      <c r="AA73" s="9">
        <v>0</v>
      </c>
      <c r="AB73" s="8">
        <v>0</v>
      </c>
      <c r="AC73" s="9">
        <v>0</v>
      </c>
      <c r="AD73" s="8">
        <v>0</v>
      </c>
      <c r="AE73" s="9">
        <v>0</v>
      </c>
      <c r="AF73" s="8">
        <v>0</v>
      </c>
      <c r="AG73" s="9">
        <v>0</v>
      </c>
      <c r="AH73" s="8"/>
      <c r="AI73" s="17"/>
      <c r="AJ73" s="8">
        <v>0</v>
      </c>
      <c r="AK73" s="9">
        <v>0</v>
      </c>
      <c r="AL73" s="8">
        <v>-5989.65</v>
      </c>
      <c r="AM73" s="9">
        <v>-5989.65</v>
      </c>
      <c r="AN73" s="8">
        <v>-24220</v>
      </c>
      <c r="AO73" s="9">
        <v>-24220</v>
      </c>
      <c r="AP73" s="8">
        <v>0</v>
      </c>
      <c r="AQ73" s="9">
        <v>0</v>
      </c>
      <c r="AR73" s="8">
        <v>0</v>
      </c>
      <c r="AS73" s="9">
        <v>0</v>
      </c>
      <c r="AT73" s="8">
        <v>0</v>
      </c>
      <c r="AU73" s="9">
        <v>0</v>
      </c>
      <c r="AV73" s="8"/>
      <c r="AW73" s="30">
        <f t="shared" si="3"/>
        <v>-30209.65</v>
      </c>
    </row>
    <row r="74" spans="1:49" x14ac:dyDescent="0.25">
      <c r="A74" s="29" t="s">
        <v>78</v>
      </c>
      <c r="B74" s="8">
        <v>0</v>
      </c>
      <c r="C74" s="9">
        <v>0</v>
      </c>
      <c r="D74" s="8">
        <v>0</v>
      </c>
      <c r="E74" s="9">
        <v>0</v>
      </c>
      <c r="F74" s="8">
        <v>0</v>
      </c>
      <c r="G74" s="9">
        <v>0</v>
      </c>
      <c r="H74" s="8">
        <v>0</v>
      </c>
      <c r="I74" s="9">
        <v>0</v>
      </c>
      <c r="J74" s="8">
        <v>0</v>
      </c>
      <c r="K74" s="9">
        <v>0</v>
      </c>
      <c r="L74" s="8">
        <v>0</v>
      </c>
      <c r="M74" s="9">
        <v>0</v>
      </c>
      <c r="N74" s="8">
        <v>0</v>
      </c>
      <c r="O74" s="9">
        <v>0</v>
      </c>
      <c r="P74" s="8">
        <v>-2547.4499999999998</v>
      </c>
      <c r="Q74" s="9">
        <v>-2547.4499999999998</v>
      </c>
      <c r="R74" s="8">
        <v>0</v>
      </c>
      <c r="S74" s="9">
        <v>0</v>
      </c>
      <c r="T74" s="8">
        <v>0</v>
      </c>
      <c r="U74" s="9">
        <v>0</v>
      </c>
      <c r="V74" s="8">
        <v>0</v>
      </c>
      <c r="W74" s="9">
        <v>0</v>
      </c>
      <c r="X74" s="8">
        <v>0</v>
      </c>
      <c r="Y74" s="9">
        <v>0</v>
      </c>
      <c r="Z74" s="8">
        <v>0</v>
      </c>
      <c r="AA74" s="9">
        <v>0</v>
      </c>
      <c r="AB74" s="8">
        <v>-1350</v>
      </c>
      <c r="AC74" s="9">
        <v>-1350</v>
      </c>
      <c r="AD74" s="8">
        <v>0</v>
      </c>
      <c r="AE74" s="9">
        <v>0</v>
      </c>
      <c r="AF74" s="8">
        <v>0</v>
      </c>
      <c r="AG74" s="9">
        <v>0</v>
      </c>
      <c r="AH74" s="8"/>
      <c r="AI74" s="9"/>
      <c r="AJ74" s="8">
        <v>-1000</v>
      </c>
      <c r="AK74" s="9">
        <v>-1000</v>
      </c>
      <c r="AL74" s="8">
        <v>0</v>
      </c>
      <c r="AM74" s="9">
        <v>0</v>
      </c>
      <c r="AN74" s="8">
        <v>0</v>
      </c>
      <c r="AO74" s="9">
        <v>0</v>
      </c>
      <c r="AP74" s="8">
        <v>0</v>
      </c>
      <c r="AQ74" s="9">
        <v>0</v>
      </c>
      <c r="AR74" s="8">
        <v>0</v>
      </c>
      <c r="AS74" s="9">
        <v>0</v>
      </c>
      <c r="AT74" s="8">
        <v>0</v>
      </c>
      <c r="AU74" s="9">
        <v>0</v>
      </c>
      <c r="AV74" s="8">
        <f t="shared" si="2"/>
        <v>-4897.45</v>
      </c>
      <c r="AW74" s="30">
        <f t="shared" si="3"/>
        <v>-4897.45</v>
      </c>
    </row>
    <row r="75" spans="1:49" x14ac:dyDescent="0.25">
      <c r="A75" s="29" t="s">
        <v>110</v>
      </c>
      <c r="B75" s="8"/>
      <c r="C75" s="9"/>
      <c r="D75" s="8"/>
      <c r="E75" s="9"/>
      <c r="F75" s="8"/>
      <c r="G75" s="9"/>
      <c r="H75" s="8"/>
      <c r="I75" s="9"/>
      <c r="J75" s="8"/>
      <c r="K75" s="9"/>
      <c r="L75" s="8"/>
      <c r="M75" s="9"/>
      <c r="N75" s="8"/>
      <c r="O75" s="9"/>
      <c r="P75" s="8"/>
      <c r="Q75" s="9"/>
      <c r="R75" s="8"/>
      <c r="S75" s="9"/>
      <c r="T75" s="8"/>
      <c r="U75" s="9"/>
      <c r="V75" s="8"/>
      <c r="W75" s="9"/>
      <c r="X75" s="8"/>
      <c r="Y75" s="9"/>
      <c r="Z75" s="8"/>
      <c r="AA75" s="9"/>
      <c r="AB75" s="8"/>
      <c r="AC75" s="9"/>
      <c r="AD75" s="8"/>
      <c r="AE75" s="9"/>
      <c r="AF75" s="8"/>
      <c r="AG75" s="9"/>
      <c r="AH75" s="8">
        <v>-17151.73</v>
      </c>
      <c r="AI75" s="9">
        <v>-17151.73</v>
      </c>
      <c r="AJ75" s="8">
        <v>-5000</v>
      </c>
      <c r="AK75" s="9">
        <v>-5000</v>
      </c>
      <c r="AL75" s="8">
        <v>-5000</v>
      </c>
      <c r="AM75" s="9">
        <v>-5000</v>
      </c>
      <c r="AN75" s="8">
        <v>-5000</v>
      </c>
      <c r="AO75" s="9">
        <v>5000</v>
      </c>
      <c r="AP75" s="8">
        <v>-5000</v>
      </c>
      <c r="AQ75" s="9">
        <v>0</v>
      </c>
      <c r="AR75" s="8">
        <v>-5000</v>
      </c>
      <c r="AS75" s="9">
        <v>0</v>
      </c>
      <c r="AT75" s="8">
        <v>-5000</v>
      </c>
      <c r="AU75" s="9">
        <v>0</v>
      </c>
      <c r="AV75" s="8"/>
      <c r="AW75" s="30"/>
    </row>
    <row r="76" spans="1:49" x14ac:dyDescent="0.25">
      <c r="A76" s="29" t="s">
        <v>79</v>
      </c>
      <c r="B76" s="8">
        <v>0</v>
      </c>
      <c r="C76" s="9">
        <v>0</v>
      </c>
      <c r="D76" s="8">
        <v>0</v>
      </c>
      <c r="E76" s="9">
        <v>0</v>
      </c>
      <c r="F76" s="8">
        <v>0</v>
      </c>
      <c r="G76" s="9">
        <v>0</v>
      </c>
      <c r="H76" s="8">
        <v>0</v>
      </c>
      <c r="I76" s="9">
        <v>0</v>
      </c>
      <c r="J76" s="8">
        <v>0</v>
      </c>
      <c r="K76" s="9">
        <v>0</v>
      </c>
      <c r="L76" s="8">
        <v>0</v>
      </c>
      <c r="M76" s="9">
        <v>0</v>
      </c>
      <c r="N76" s="8">
        <v>0</v>
      </c>
      <c r="O76" s="9">
        <v>0</v>
      </c>
      <c r="P76" s="8">
        <v>-25000</v>
      </c>
      <c r="Q76" s="9">
        <v>-25000</v>
      </c>
      <c r="R76" s="8">
        <v>0</v>
      </c>
      <c r="S76" s="9">
        <v>0</v>
      </c>
      <c r="T76" s="8">
        <v>0</v>
      </c>
      <c r="U76" s="9">
        <v>0</v>
      </c>
      <c r="V76" s="8">
        <v>0</v>
      </c>
      <c r="W76" s="9">
        <v>0</v>
      </c>
      <c r="X76" s="8">
        <v>0</v>
      </c>
      <c r="Y76" s="9">
        <v>0</v>
      </c>
      <c r="Z76" s="8">
        <v>0</v>
      </c>
      <c r="AA76" s="9">
        <v>0</v>
      </c>
      <c r="AB76" s="8">
        <v>-16816.759999999998</v>
      </c>
      <c r="AC76" s="9">
        <v>-16816.759999999998</v>
      </c>
      <c r="AD76" s="8">
        <v>0</v>
      </c>
      <c r="AE76" s="9">
        <v>0</v>
      </c>
      <c r="AF76" s="8">
        <v>0</v>
      </c>
      <c r="AG76" s="9">
        <v>0</v>
      </c>
      <c r="AH76" s="8"/>
      <c r="AI76" s="9"/>
      <c r="AJ76" s="8"/>
      <c r="AK76" s="9"/>
      <c r="AL76" s="8"/>
      <c r="AM76" s="9"/>
      <c r="AN76" s="8"/>
      <c r="AO76" s="9"/>
      <c r="AP76" s="8"/>
      <c r="AQ76" s="9"/>
      <c r="AR76" s="8"/>
      <c r="AS76" s="9"/>
      <c r="AT76" s="8"/>
      <c r="AU76" s="9"/>
      <c r="AV76" s="8">
        <f t="shared" si="2"/>
        <v>-41816.759999999995</v>
      </c>
      <c r="AW76" s="30">
        <f t="shared" si="3"/>
        <v>-41816.759999999995</v>
      </c>
    </row>
    <row r="77" spans="1:49" s="3" customFormat="1" x14ac:dyDescent="0.25">
      <c r="A77" s="27" t="s">
        <v>109</v>
      </c>
      <c r="B77" s="7">
        <v>0</v>
      </c>
      <c r="C77" s="7">
        <v>0</v>
      </c>
      <c r="D77" s="7">
        <v>-22454.62</v>
      </c>
      <c r="E77" s="7">
        <v>-22454.62</v>
      </c>
      <c r="F77" s="7">
        <v>-13246.01</v>
      </c>
      <c r="G77" s="7">
        <v>-13246.01</v>
      </c>
      <c r="H77" s="7">
        <v>-2816.08</v>
      </c>
      <c r="I77" s="7">
        <v>-2816.08</v>
      </c>
      <c r="J77" s="7">
        <v>-2930.08</v>
      </c>
      <c r="K77" s="7">
        <v>-2930.08</v>
      </c>
      <c r="L77" s="7">
        <v>-1309.08</v>
      </c>
      <c r="M77" s="7">
        <v>-1309.08</v>
      </c>
      <c r="N77" s="7">
        <v>-930.08</v>
      </c>
      <c r="O77" s="7">
        <v>-930.08</v>
      </c>
      <c r="P77" s="7">
        <v>-87897.19</v>
      </c>
      <c r="Q77" s="7">
        <v>-87897.19</v>
      </c>
      <c r="R77" s="7">
        <v>-175.54</v>
      </c>
      <c r="S77" s="7">
        <v>-175.54</v>
      </c>
      <c r="T77" s="7">
        <v>-175.54</v>
      </c>
      <c r="U77" s="7">
        <v>-175.54</v>
      </c>
      <c r="V77" s="7">
        <v>-127.68</v>
      </c>
      <c r="W77" s="7">
        <v>-127.68</v>
      </c>
      <c r="X77" s="7">
        <v>-2927.68</v>
      </c>
      <c r="Y77" s="7">
        <v>-2927.68</v>
      </c>
      <c r="Z77" s="7">
        <v>0</v>
      </c>
      <c r="AA77" s="7">
        <v>0</v>
      </c>
      <c r="AB77" s="7">
        <v>-5800</v>
      </c>
      <c r="AC77" s="7">
        <v>-5800</v>
      </c>
      <c r="AD77" s="7">
        <v>-543.32000000000005</v>
      </c>
      <c r="AE77" s="7">
        <v>-543.32000000000005</v>
      </c>
      <c r="AF77" s="7">
        <v>-902.79</v>
      </c>
      <c r="AG77" s="7">
        <v>-902.79</v>
      </c>
      <c r="AH77" s="7">
        <v>-970.59</v>
      </c>
      <c r="AI77" s="7">
        <v>-970.59</v>
      </c>
      <c r="AJ77" s="7">
        <v>-4842.53</v>
      </c>
      <c r="AK77" s="7">
        <v>-4842.53</v>
      </c>
      <c r="AL77" s="7">
        <v>-543.29</v>
      </c>
      <c r="AM77" s="7">
        <v>-543.29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f t="shared" si="2"/>
        <v>-148592.10000000003</v>
      </c>
      <c r="AW77" s="28">
        <f t="shared" si="3"/>
        <v>-148592.10000000003</v>
      </c>
    </row>
    <row r="78" spans="1:49" x14ac:dyDescent="0.25">
      <c r="A78" s="29" t="s">
        <v>80</v>
      </c>
      <c r="B78" s="8">
        <v>0</v>
      </c>
      <c r="C78" s="9">
        <v>0</v>
      </c>
      <c r="D78" s="8">
        <v>-22454.62</v>
      </c>
      <c r="E78" s="9">
        <v>-22454.62</v>
      </c>
      <c r="F78" s="8">
        <v>-13246.01</v>
      </c>
      <c r="G78" s="9">
        <v>-13246.01</v>
      </c>
      <c r="H78" s="8">
        <v>-2816.08</v>
      </c>
      <c r="I78" s="9">
        <v>-2816.08</v>
      </c>
      <c r="J78" s="8">
        <v>-2930.08</v>
      </c>
      <c r="K78" s="9">
        <v>-2930.08</v>
      </c>
      <c r="L78" s="8">
        <v>-1309.08</v>
      </c>
      <c r="M78" s="9">
        <v>-1309.08</v>
      </c>
      <c r="N78" s="8">
        <v>-930.08</v>
      </c>
      <c r="O78" s="9">
        <v>-930.08</v>
      </c>
      <c r="P78" s="8">
        <v>-87897.19</v>
      </c>
      <c r="Q78" s="9">
        <v>-87897.19</v>
      </c>
      <c r="R78" s="8">
        <v>-175.54</v>
      </c>
      <c r="S78" s="9">
        <v>-175.54</v>
      </c>
      <c r="T78" s="8">
        <v>-175.54</v>
      </c>
      <c r="U78" s="9">
        <v>-175.54</v>
      </c>
      <c r="V78" s="8">
        <v>-127.68</v>
      </c>
      <c r="W78" s="9">
        <v>-127.68</v>
      </c>
      <c r="X78" s="8">
        <v>-2927.68</v>
      </c>
      <c r="Y78" s="9">
        <v>-2927.68</v>
      </c>
      <c r="Z78" s="8">
        <v>0</v>
      </c>
      <c r="AA78" s="9">
        <v>0</v>
      </c>
      <c r="AB78" s="8">
        <v>-5800</v>
      </c>
      <c r="AC78" s="9">
        <v>-5800</v>
      </c>
      <c r="AD78" s="8">
        <v>-543.32000000000005</v>
      </c>
      <c r="AE78" s="9">
        <v>-543.32000000000005</v>
      </c>
      <c r="AF78" s="8">
        <v>-902.79</v>
      </c>
      <c r="AG78" s="9">
        <v>-902.79</v>
      </c>
      <c r="AH78" s="8">
        <v>-970.59</v>
      </c>
      <c r="AI78" s="9">
        <v>-970.59</v>
      </c>
      <c r="AJ78" s="8">
        <v>-4842.53</v>
      </c>
      <c r="AK78" s="9">
        <v>-4842.53</v>
      </c>
      <c r="AL78" s="8">
        <v>-543.29</v>
      </c>
      <c r="AM78" s="9">
        <v>-543.29</v>
      </c>
      <c r="AN78" s="8">
        <v>0</v>
      </c>
      <c r="AO78" s="9">
        <v>0</v>
      </c>
      <c r="AP78" s="8">
        <v>0</v>
      </c>
      <c r="AQ78" s="9">
        <v>0</v>
      </c>
      <c r="AR78" s="8">
        <v>0</v>
      </c>
      <c r="AS78" s="9">
        <v>0</v>
      </c>
      <c r="AT78" s="8">
        <v>0</v>
      </c>
      <c r="AU78" s="9">
        <v>0</v>
      </c>
      <c r="AV78" s="8">
        <f>SUM(B78+D78+F78+H78+J78+L78+N78+P78+R78+T78+V78+X78+Z78+AB78+AD78+AF78+AH78+AJ78+AL78+AN78+AP78+AR78+AT78)</f>
        <v>-148592.10000000003</v>
      </c>
      <c r="AW78" s="30">
        <f t="shared" si="3"/>
        <v>-148592.10000000003</v>
      </c>
    </row>
    <row r="79" spans="1:49" s="15" customFormat="1" ht="15.75" x14ac:dyDescent="0.25">
      <c r="A79" s="37" t="s">
        <v>81</v>
      </c>
      <c r="B79" s="41">
        <v>99986.31</v>
      </c>
      <c r="C79" s="5">
        <v>100786.31</v>
      </c>
      <c r="D79" s="41">
        <v>28090.11</v>
      </c>
      <c r="E79" s="5">
        <v>25301.15</v>
      </c>
      <c r="F79" s="41">
        <v>19145.28</v>
      </c>
      <c r="G79" s="5">
        <v>10110.27</v>
      </c>
      <c r="H79" s="41">
        <v>26497.119999999999</v>
      </c>
      <c r="I79" s="5">
        <v>23885.200000000001</v>
      </c>
      <c r="J79" s="41">
        <v>-19508.84</v>
      </c>
      <c r="K79" s="5">
        <v>-21881.13</v>
      </c>
      <c r="L79" s="41">
        <v>-3388.83</v>
      </c>
      <c r="M79" s="5">
        <v>-13318.73</v>
      </c>
      <c r="N79" s="41">
        <v>92502.63</v>
      </c>
      <c r="O79" s="5">
        <v>100190.38</v>
      </c>
      <c r="P79" s="41">
        <v>94401.37</v>
      </c>
      <c r="Q79" s="5">
        <v>45933.51</v>
      </c>
      <c r="R79" s="41">
        <v>13775.31</v>
      </c>
      <c r="S79" s="5">
        <v>10102.51</v>
      </c>
      <c r="T79" s="41">
        <v>4316.3</v>
      </c>
      <c r="U79" s="5">
        <v>2120.15</v>
      </c>
      <c r="V79" s="41">
        <v>-4605.53</v>
      </c>
      <c r="W79" s="5">
        <v>-5302.9</v>
      </c>
      <c r="X79" s="41">
        <v>35352.199999999997</v>
      </c>
      <c r="Y79" s="5">
        <v>23803.89</v>
      </c>
      <c r="Z79" s="41">
        <v>-38012.160000000003</v>
      </c>
      <c r="AA79" s="5">
        <v>-33014.17</v>
      </c>
      <c r="AB79" s="41">
        <v>-27086.45</v>
      </c>
      <c r="AC79" s="5">
        <v>-35217.279999999999</v>
      </c>
      <c r="AD79" s="41">
        <v>39720.230000000003</v>
      </c>
      <c r="AE79" s="5">
        <v>26742.05</v>
      </c>
      <c r="AF79" s="41">
        <v>111765.85</v>
      </c>
      <c r="AG79" s="5">
        <v>79228.36</v>
      </c>
      <c r="AH79" s="41">
        <v>72246.960000000006</v>
      </c>
      <c r="AI79" s="5">
        <v>36274.720000000001</v>
      </c>
      <c r="AJ79" s="41">
        <v>65942.570000000007</v>
      </c>
      <c r="AK79" s="5">
        <v>54429.08</v>
      </c>
      <c r="AL79" s="41">
        <v>10682.87</v>
      </c>
      <c r="AM79" s="5">
        <v>-7887.53</v>
      </c>
      <c r="AN79" s="41">
        <v>-54674.57</v>
      </c>
      <c r="AO79" s="5">
        <v>-58859.38</v>
      </c>
      <c r="AP79" s="41">
        <v>-16303.44</v>
      </c>
      <c r="AQ79" s="5">
        <v>0</v>
      </c>
      <c r="AR79" s="41">
        <v>-19283.939999999999</v>
      </c>
      <c r="AS79" s="5">
        <v>0</v>
      </c>
      <c r="AT79" s="41">
        <v>-22799.54</v>
      </c>
      <c r="AU79" s="5">
        <v>0</v>
      </c>
      <c r="AV79" s="41"/>
      <c r="AW79" s="24"/>
    </row>
    <row r="80" spans="1:49" s="15" customFormat="1" ht="15.75" x14ac:dyDescent="0.25">
      <c r="A80" s="38" t="s">
        <v>82</v>
      </c>
      <c r="B80" s="42">
        <v>99986.31</v>
      </c>
      <c r="C80" s="39">
        <v>100786.31</v>
      </c>
      <c r="D80" s="42">
        <v>128076.42</v>
      </c>
      <c r="E80" s="39">
        <v>126087.46</v>
      </c>
      <c r="F80" s="42">
        <v>147221.70000000001</v>
      </c>
      <c r="G80" s="39">
        <v>136197.73000000001</v>
      </c>
      <c r="H80" s="42">
        <v>173718.82</v>
      </c>
      <c r="I80" s="39">
        <v>160082.93</v>
      </c>
      <c r="J80" s="42">
        <v>154209.98000000001</v>
      </c>
      <c r="K80" s="39">
        <v>138201.79999999999</v>
      </c>
      <c r="L80" s="42">
        <v>150821.15</v>
      </c>
      <c r="M80" s="39">
        <v>124883.07</v>
      </c>
      <c r="N80" s="42">
        <v>243323.78</v>
      </c>
      <c r="O80" s="39">
        <v>225073.45</v>
      </c>
      <c r="P80" s="42">
        <v>337725.15</v>
      </c>
      <c r="Q80" s="39">
        <v>271006.96000000002</v>
      </c>
      <c r="R80" s="42">
        <v>351500.46</v>
      </c>
      <c r="S80" s="39">
        <v>281109.46999999997</v>
      </c>
      <c r="T80" s="42">
        <v>355816.76</v>
      </c>
      <c r="U80" s="39">
        <v>283229.62</v>
      </c>
      <c r="V80" s="42">
        <v>351211.23</v>
      </c>
      <c r="W80" s="39">
        <v>277926.71999999997</v>
      </c>
      <c r="X80" s="42">
        <v>386563.43</v>
      </c>
      <c r="Y80" s="39">
        <v>301730.61</v>
      </c>
      <c r="Z80" s="42">
        <v>348551.27</v>
      </c>
      <c r="AA80" s="39">
        <v>268716.44</v>
      </c>
      <c r="AB80" s="42">
        <v>321464.82</v>
      </c>
      <c r="AC80" s="39">
        <v>233499.16</v>
      </c>
      <c r="AD80" s="42">
        <v>361185.05</v>
      </c>
      <c r="AE80" s="39">
        <v>260241.21</v>
      </c>
      <c r="AF80" s="42">
        <v>472950.9</v>
      </c>
      <c r="AG80" s="39">
        <v>339469.57</v>
      </c>
      <c r="AH80" s="42">
        <v>545197.86</v>
      </c>
      <c r="AI80" s="39">
        <v>375744.29</v>
      </c>
      <c r="AJ80" s="42">
        <v>593850.48</v>
      </c>
      <c r="AK80" s="39">
        <v>430173.37</v>
      </c>
      <c r="AL80" s="42">
        <v>604533.35</v>
      </c>
      <c r="AM80" s="39">
        <v>422285.84</v>
      </c>
      <c r="AN80" s="42">
        <v>548132.64</v>
      </c>
      <c r="AO80" s="39">
        <v>364059.74</v>
      </c>
      <c r="AP80" s="42">
        <v>634276.06999999995</v>
      </c>
      <c r="AQ80" s="39">
        <v>444032.13</v>
      </c>
      <c r="AR80" s="42">
        <v>614992.13</v>
      </c>
      <c r="AS80" s="39">
        <v>444032.13</v>
      </c>
      <c r="AT80" s="42">
        <v>592192.59</v>
      </c>
      <c r="AU80" s="39">
        <v>444032.13</v>
      </c>
      <c r="AV80" s="42"/>
      <c r="AW80" s="40"/>
    </row>
  </sheetData>
  <mergeCells count="24">
    <mergeCell ref="AV1:AW1"/>
    <mergeCell ref="T1:U1"/>
    <mergeCell ref="V1:W1"/>
    <mergeCell ref="X1:Y1"/>
    <mergeCell ref="Z1:AA1"/>
    <mergeCell ref="AB1:AC1"/>
    <mergeCell ref="AJ1:AK1"/>
    <mergeCell ref="AL1:AM1"/>
    <mergeCell ref="AN1:AO1"/>
    <mergeCell ref="AP1:AQ1"/>
    <mergeCell ref="AR1:AS1"/>
    <mergeCell ref="AT1:AU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AH1:AI1"/>
    <mergeCell ref="AD1:AE1"/>
    <mergeCell ref="AF1:AG1"/>
  </mergeCells>
  <conditionalFormatting sqref="A4:AW4">
    <cfRule type="cellIs" dxfId="5" priority="5" operator="greaterThan">
      <formula>0.1</formula>
    </cfRule>
  </conditionalFormatting>
  <conditionalFormatting sqref="A18:AW18">
    <cfRule type="cellIs" dxfId="4" priority="4" operator="greaterThan">
      <formula>0.1</formula>
    </cfRule>
  </conditionalFormatting>
  <conditionalFormatting sqref="B80:AV80">
    <cfRule type="cellIs" dxfId="3" priority="6" operator="greaterThan">
      <formula>0.1</formula>
    </cfRule>
  </conditionalFormatting>
  <conditionalFormatting sqref="B79:AW79">
    <cfRule type="cellIs" dxfId="1" priority="1" operator="greaterThan">
      <formula>0.1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DB3DE187-F456-41C5-87E6-F2A39D215AE9}">
            <xm:f>NOT(ISERROR(SEARCH("-",B18)))</xm:f>
            <xm:f>"-"</xm:f>
            <x14:dxf>
              <font>
                <color rgb="FF9C0006"/>
              </font>
            </x14:dxf>
          </x14:cfRule>
          <xm:sqref>B18:AW18</xm:sqref>
        </x14:conditionalFormatting>
        <x14:conditionalFormatting xmlns:xm="http://schemas.microsoft.com/office/excel/2006/main">
          <x14:cfRule type="containsText" priority="2" operator="containsText" id="{81DA65B9-288F-468A-8493-F8BAA2537877}">
            <xm:f>NOT(ISERROR(SEARCH("-",B79)))</xm:f>
            <xm:f>"-"</xm:f>
            <x14:dxf>
              <font>
                <color rgb="FF9C0006"/>
              </font>
            </x14:dxf>
          </x14:cfRule>
          <xm:sqref>B79:AW79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DA578-B5E1-45EA-8993-7C8958BB27A1}">
  <dimension ref="A1:C25"/>
  <sheetViews>
    <sheetView showGridLines="0" workbookViewId="0">
      <selection activeCell="I23" sqref="I23"/>
    </sheetView>
  </sheetViews>
  <sheetFormatPr defaultRowHeight="15" x14ac:dyDescent="0.25"/>
  <cols>
    <col min="1" max="1" width="49.42578125" customWidth="1"/>
    <col min="2" max="2" width="20.5703125" customWidth="1"/>
    <col min="3" max="3" width="14.7109375" customWidth="1"/>
  </cols>
  <sheetData>
    <row r="1" spans="1:3" x14ac:dyDescent="0.25">
      <c r="A1" t="s">
        <v>83</v>
      </c>
      <c r="B1" t="s">
        <v>85</v>
      </c>
      <c r="C1" t="s">
        <v>84</v>
      </c>
    </row>
    <row r="2" spans="1:3" x14ac:dyDescent="0.25">
      <c r="A2" t="s">
        <v>121</v>
      </c>
      <c r="B2" t="s">
        <v>145</v>
      </c>
      <c r="C2" s="2">
        <v>998.5</v>
      </c>
    </row>
    <row r="3" spans="1:3" x14ac:dyDescent="0.25">
      <c r="A3" t="s">
        <v>121</v>
      </c>
      <c r="B3" t="s">
        <v>146</v>
      </c>
      <c r="C3" s="2">
        <v>998.5</v>
      </c>
    </row>
    <row r="4" spans="1:3" x14ac:dyDescent="0.25">
      <c r="A4" t="s">
        <v>122</v>
      </c>
      <c r="B4" t="s">
        <v>147</v>
      </c>
      <c r="C4" s="2">
        <v>648.5</v>
      </c>
    </row>
    <row r="5" spans="1:3" x14ac:dyDescent="0.25">
      <c r="A5" t="s">
        <v>123</v>
      </c>
      <c r="B5" t="s">
        <v>148</v>
      </c>
      <c r="C5" s="2">
        <v>843.67</v>
      </c>
    </row>
    <row r="6" spans="1:3" x14ac:dyDescent="0.25">
      <c r="A6" t="s">
        <v>123</v>
      </c>
      <c r="B6" t="s">
        <v>149</v>
      </c>
      <c r="C6" s="2">
        <v>843.67</v>
      </c>
    </row>
    <row r="7" spans="1:3" x14ac:dyDescent="0.25">
      <c r="A7" t="s">
        <v>143</v>
      </c>
      <c r="B7" t="s">
        <v>150</v>
      </c>
      <c r="C7" s="2">
        <v>875.75</v>
      </c>
    </row>
    <row r="8" spans="1:3" x14ac:dyDescent="0.25">
      <c r="A8" t="s">
        <v>124</v>
      </c>
      <c r="B8" t="s">
        <v>151</v>
      </c>
      <c r="C8" s="2">
        <v>921.61</v>
      </c>
    </row>
    <row r="9" spans="1:3" x14ac:dyDescent="0.25">
      <c r="A9" t="s">
        <v>125</v>
      </c>
      <c r="B9" t="s">
        <v>152</v>
      </c>
      <c r="C9" s="2">
        <v>465.09</v>
      </c>
    </row>
    <row r="10" spans="1:3" x14ac:dyDescent="0.25">
      <c r="A10" t="s">
        <v>126</v>
      </c>
      <c r="B10" t="s">
        <v>153</v>
      </c>
      <c r="C10" s="2">
        <v>1329</v>
      </c>
    </row>
    <row r="11" spans="1:3" x14ac:dyDescent="0.25">
      <c r="A11" t="s">
        <v>127</v>
      </c>
      <c r="B11" t="s">
        <v>154</v>
      </c>
      <c r="C11" s="2">
        <v>198.5</v>
      </c>
    </row>
    <row r="12" spans="1:3" x14ac:dyDescent="0.25">
      <c r="A12" t="s">
        <v>124</v>
      </c>
      <c r="B12" t="s">
        <v>155</v>
      </c>
      <c r="C12" s="2">
        <v>921.61</v>
      </c>
    </row>
    <row r="13" spans="1:3" x14ac:dyDescent="0.25">
      <c r="A13" t="s">
        <v>143</v>
      </c>
      <c r="B13" t="s">
        <v>156</v>
      </c>
      <c r="C13" s="2">
        <v>875.75</v>
      </c>
    </row>
    <row r="14" spans="1:3" x14ac:dyDescent="0.25">
      <c r="A14" t="s">
        <v>128</v>
      </c>
      <c r="B14" t="s">
        <v>129</v>
      </c>
      <c r="C14" s="2">
        <v>1159.4000000000001</v>
      </c>
    </row>
    <row r="15" spans="1:3" x14ac:dyDescent="0.25">
      <c r="A15" t="s">
        <v>130</v>
      </c>
      <c r="B15" t="s">
        <v>136</v>
      </c>
      <c r="C15" s="2">
        <v>999.25</v>
      </c>
    </row>
    <row r="16" spans="1:3" x14ac:dyDescent="0.25">
      <c r="A16" t="s">
        <v>126</v>
      </c>
      <c r="B16" t="s">
        <v>138</v>
      </c>
      <c r="C16" s="2">
        <v>1329</v>
      </c>
    </row>
    <row r="17" spans="1:3" x14ac:dyDescent="0.25">
      <c r="A17" t="s">
        <v>133</v>
      </c>
      <c r="B17" t="s">
        <v>137</v>
      </c>
      <c r="C17" s="2">
        <v>1993.57</v>
      </c>
    </row>
    <row r="18" spans="1:3" x14ac:dyDescent="0.25">
      <c r="A18" t="s">
        <v>124</v>
      </c>
      <c r="B18" t="s">
        <v>157</v>
      </c>
      <c r="C18" s="2">
        <v>921.61</v>
      </c>
    </row>
    <row r="19" spans="1:3" x14ac:dyDescent="0.25">
      <c r="A19" t="s">
        <v>134</v>
      </c>
      <c r="B19" t="s">
        <v>158</v>
      </c>
      <c r="C19" s="2">
        <v>1266.6600000000001</v>
      </c>
    </row>
    <row r="20" spans="1:3" x14ac:dyDescent="0.25">
      <c r="A20" t="s">
        <v>135</v>
      </c>
      <c r="B20" t="s">
        <v>159</v>
      </c>
      <c r="C20" s="2">
        <v>1091.9000000000001</v>
      </c>
    </row>
    <row r="21" spans="1:3" x14ac:dyDescent="0.25">
      <c r="A21" t="s">
        <v>131</v>
      </c>
      <c r="B21" t="s">
        <v>160</v>
      </c>
      <c r="C21" s="2">
        <v>600</v>
      </c>
    </row>
    <row r="22" spans="1:3" x14ac:dyDescent="0.25">
      <c r="A22" t="s">
        <v>144</v>
      </c>
      <c r="B22" t="s">
        <v>161</v>
      </c>
      <c r="C22" s="2">
        <v>499.25</v>
      </c>
    </row>
    <row r="23" spans="1:3" x14ac:dyDescent="0.25">
      <c r="A23" t="s">
        <v>135</v>
      </c>
      <c r="B23" t="s">
        <v>162</v>
      </c>
      <c r="C23" s="2">
        <v>1091.9000000000001</v>
      </c>
    </row>
    <row r="24" spans="1:3" x14ac:dyDescent="0.25">
      <c r="A24" t="s">
        <v>132</v>
      </c>
      <c r="B24" t="s">
        <v>163</v>
      </c>
      <c r="C24" s="2">
        <v>759.42</v>
      </c>
    </row>
    <row r="25" spans="1:3" x14ac:dyDescent="0.25">
      <c r="A25" t="s">
        <v>132</v>
      </c>
      <c r="B25" t="s">
        <v>163</v>
      </c>
      <c r="C25" s="2">
        <v>759.42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F3CFE1-DFC9-496E-B982-F465736E10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Faturamento</vt:lpstr>
      <vt:lpstr>Receitas</vt:lpstr>
      <vt:lpstr>Saldos</vt:lpstr>
      <vt:lpstr>Centros de Custo</vt:lpstr>
      <vt:lpstr>DFC </vt:lpstr>
      <vt:lpstr>INADIMPLENTES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Viana</dc:creator>
  <cp:lastModifiedBy>Karolayne Azevedo - Mutuus Gestão Tributária</cp:lastModifiedBy>
  <dcterms:created xsi:type="dcterms:W3CDTF">2026-05-10T15:40:31Z</dcterms:created>
  <dcterms:modified xsi:type="dcterms:W3CDTF">2026-10-01T22:03:37Z</dcterms:modified>
</cp:coreProperties>
</file>